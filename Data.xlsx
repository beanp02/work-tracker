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any\work tracker\"/>
    </mc:Choice>
  </mc:AlternateContent>
  <xr:revisionPtr revIDLastSave="0" documentId="13_ncr:1_{F7C9BAAD-243D-4C78-ADE7-F419E07A4BFA}" xr6:coauthVersionLast="47" xr6:coauthVersionMax="47" xr10:uidLastSave="{00000000-0000-0000-0000-000000000000}"/>
  <bookViews>
    <workbookView xWindow="35775" yWindow="-105" windowWidth="21075" windowHeight="15585" xr2:uid="{4BF764C1-BE8E-4797-96DB-6CFF9B2F97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41" i="1" l="1"/>
  <c r="F2042" i="1"/>
  <c r="F2043" i="1"/>
  <c r="F2044" i="1"/>
  <c r="F2045" i="1"/>
  <c r="F2046" i="1"/>
  <c r="F2047" i="1"/>
  <c r="F2048" i="1"/>
  <c r="F2049" i="1"/>
  <c r="F2050" i="1"/>
  <c r="H2046" i="1" s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H1997" i="1" s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H1983" i="1" s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H1969" i="1" s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H1948" i="1" s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H1934" i="1" s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H1885" i="1" s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H1871" i="1" s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H1857" i="1" s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H1843" i="1" s="1"/>
  <c r="F1842" i="1"/>
  <c r="F1841" i="1"/>
  <c r="F1840" i="1"/>
  <c r="F1839" i="1"/>
  <c r="F1838" i="1"/>
  <c r="F1837" i="1"/>
  <c r="F1836" i="1"/>
  <c r="H1836" i="1" s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H1822" i="1" s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H1773" i="1" s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H1759" i="1" s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H1745" i="1" s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H1731" i="1" s="1"/>
  <c r="F1730" i="1"/>
  <c r="F1729" i="1"/>
  <c r="F1728" i="1"/>
  <c r="F1727" i="1"/>
  <c r="F1726" i="1"/>
  <c r="F1725" i="1"/>
  <c r="F1724" i="1"/>
  <c r="H1724" i="1" s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H1710" i="1" s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H1661" i="1" s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H1647" i="1" s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H1633" i="1" s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H1619" i="1" s="1"/>
  <c r="F1618" i="1"/>
  <c r="F1617" i="1"/>
  <c r="F1616" i="1"/>
  <c r="F1615" i="1"/>
  <c r="F1614" i="1"/>
  <c r="F1613" i="1"/>
  <c r="F1612" i="1"/>
  <c r="H1612" i="1" s="1"/>
  <c r="F1611" i="1"/>
  <c r="F1610" i="1"/>
  <c r="F1609" i="1"/>
  <c r="F1608" i="1"/>
  <c r="F1607" i="1"/>
  <c r="F1606" i="1"/>
  <c r="F1605" i="1"/>
  <c r="H1605" i="1" s="1"/>
  <c r="F1604" i="1"/>
  <c r="F1603" i="1"/>
  <c r="F1602" i="1"/>
  <c r="F1601" i="1"/>
  <c r="F1600" i="1"/>
  <c r="F1599" i="1"/>
  <c r="F1598" i="1"/>
  <c r="H1598" i="1" s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H1549" i="1" s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H1535" i="1" s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H1521" i="1" s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H1507" i="1" s="1"/>
  <c r="F1506" i="1"/>
  <c r="F1505" i="1"/>
  <c r="F1504" i="1"/>
  <c r="F1503" i="1"/>
  <c r="F1502" i="1"/>
  <c r="F1501" i="1"/>
  <c r="F1500" i="1"/>
  <c r="H1500" i="1" s="1"/>
  <c r="F1499" i="1"/>
  <c r="F1498" i="1"/>
  <c r="F1497" i="1"/>
  <c r="F1496" i="1"/>
  <c r="F1495" i="1"/>
  <c r="F1494" i="1"/>
  <c r="F1493" i="1"/>
  <c r="H1493" i="1" s="1"/>
  <c r="F1492" i="1"/>
  <c r="F1491" i="1"/>
  <c r="F1490" i="1"/>
  <c r="F1489" i="1"/>
  <c r="F1488" i="1"/>
  <c r="F1487" i="1"/>
  <c r="F1486" i="1"/>
  <c r="H1486" i="1" s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H1437" i="1" s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H1423" i="1" s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H1395" i="1" s="1"/>
  <c r="F1394" i="1"/>
  <c r="F1393" i="1"/>
  <c r="F1392" i="1"/>
  <c r="F1391" i="1"/>
  <c r="F1390" i="1"/>
  <c r="F1389" i="1"/>
  <c r="F1388" i="1"/>
  <c r="H1388" i="1" s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H1374" i="1" s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1" i="1"/>
  <c r="H1311" i="1" s="1"/>
  <c r="F1310" i="1"/>
  <c r="F1309" i="1"/>
  <c r="F1304" i="1"/>
  <c r="H1304" i="1" s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H1276" i="1" s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4" i="1"/>
  <c r="F1253" i="1"/>
  <c r="J1252" i="1"/>
  <c r="F1252" i="1"/>
  <c r="F1251" i="1"/>
  <c r="K1250" i="1"/>
  <c r="J1250" i="1"/>
  <c r="F1250" i="1"/>
  <c r="F1249" i="1"/>
  <c r="K1248" i="1"/>
  <c r="J1248" i="1"/>
  <c r="F1248" i="1"/>
  <c r="F1247" i="1"/>
  <c r="F1246" i="1"/>
  <c r="F1245" i="1"/>
  <c r="F1244" i="1"/>
  <c r="F1243" i="1"/>
  <c r="F1242" i="1"/>
  <c r="F1241" i="1"/>
  <c r="H1241" i="1" s="1"/>
  <c r="F1240" i="1"/>
  <c r="F1239" i="1"/>
  <c r="F1238" i="1"/>
  <c r="F1237" i="1"/>
  <c r="F1236" i="1"/>
  <c r="F1235" i="1"/>
  <c r="F1234" i="1"/>
  <c r="F1233" i="1"/>
  <c r="F1232" i="1"/>
  <c r="F1231" i="1"/>
  <c r="F1230" i="1"/>
  <c r="H1227" i="1" s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H1213" i="1" s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H1199" i="1" s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H1136" i="1" s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H1122" i="1" s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H1108" i="1" s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H1073" i="1" s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H1059" i="1" s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H1031" i="1" s="1"/>
  <c r="F1030" i="1"/>
  <c r="F1029" i="1"/>
  <c r="F1028" i="1"/>
  <c r="F1027" i="1"/>
  <c r="F1026" i="1"/>
  <c r="F1025" i="1"/>
  <c r="F1024" i="1"/>
  <c r="H1024" i="1" s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H1010" i="1" s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H996" i="1" s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H961" i="1" s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H947" i="1" s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H919" i="1" s="1"/>
  <c r="F918" i="1"/>
  <c r="F917" i="1"/>
  <c r="F916" i="1"/>
  <c r="F915" i="1"/>
  <c r="F914" i="1"/>
  <c r="F913" i="1"/>
  <c r="F912" i="1"/>
  <c r="H912" i="1" s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H898" i="1" s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H800" i="1" s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H688" i="1" s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H674" i="1" s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H576" i="1" s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H16" i="1" s="1"/>
  <c r="F15" i="1"/>
  <c r="F14" i="1"/>
  <c r="F13" i="1"/>
  <c r="F12" i="1"/>
  <c r="F11" i="1"/>
  <c r="F10" i="1"/>
  <c r="F9" i="1"/>
  <c r="F8" i="1"/>
  <c r="F7" i="1"/>
  <c r="F6" i="1"/>
  <c r="F5" i="1"/>
  <c r="I4" i="1"/>
  <c r="F4" i="1"/>
  <c r="F3" i="1"/>
  <c r="H1171" i="1" l="1"/>
  <c r="H933" i="1"/>
  <c r="H1045" i="1"/>
  <c r="H1409" i="1"/>
  <c r="H1157" i="1"/>
  <c r="H1262" i="1"/>
  <c r="H1248" i="1"/>
  <c r="H1955" i="1"/>
  <c r="H1290" i="1"/>
  <c r="H51" i="1"/>
  <c r="H1143" i="1"/>
  <c r="H1234" i="1"/>
  <c r="H905" i="1"/>
  <c r="H1017" i="1"/>
  <c r="H1220" i="1"/>
  <c r="H1297" i="1"/>
  <c r="H1381" i="1"/>
  <c r="H1717" i="1"/>
  <c r="H1829" i="1"/>
  <c r="H1941" i="1"/>
  <c r="H23" i="1"/>
  <c r="H58" i="1"/>
  <c r="H1129" i="1"/>
  <c r="H1430" i="1"/>
  <c r="H1542" i="1"/>
  <c r="H1654" i="1"/>
  <c r="H1766" i="1"/>
  <c r="H1878" i="1"/>
  <c r="H1990" i="1"/>
  <c r="H2" i="1"/>
  <c r="H37" i="1"/>
  <c r="H107" i="1"/>
  <c r="H219" i="1"/>
  <c r="H331" i="1"/>
  <c r="H443" i="1"/>
  <c r="H555" i="1"/>
  <c r="H667" i="1"/>
  <c r="H779" i="1"/>
  <c r="H891" i="1"/>
  <c r="H1003" i="1"/>
  <c r="H1283" i="1"/>
  <c r="H1367" i="1"/>
  <c r="H1479" i="1"/>
  <c r="H1591" i="1"/>
  <c r="H1703" i="1"/>
  <c r="H1815" i="1"/>
  <c r="H1927" i="1"/>
  <c r="H2039" i="1"/>
  <c r="H9" i="1"/>
  <c r="H44" i="1"/>
  <c r="H156" i="1"/>
  <c r="H268" i="1"/>
  <c r="H380" i="1"/>
  <c r="H492" i="1"/>
  <c r="H604" i="1"/>
  <c r="H716" i="1"/>
  <c r="H828" i="1"/>
  <c r="H940" i="1"/>
  <c r="H1052" i="1"/>
  <c r="H1115" i="1"/>
  <c r="H1164" i="1"/>
  <c r="H1269" i="1"/>
  <c r="H1318" i="1"/>
  <c r="H1416" i="1"/>
  <c r="H1528" i="1"/>
  <c r="H1640" i="1"/>
  <c r="H1752" i="1"/>
  <c r="H1864" i="1"/>
  <c r="H1976" i="1"/>
  <c r="H1185" i="1"/>
  <c r="H989" i="1"/>
  <c r="H1353" i="1"/>
  <c r="H1465" i="1"/>
  <c r="H1577" i="1"/>
  <c r="H1689" i="1"/>
  <c r="H1801" i="1"/>
  <c r="H1913" i="1"/>
  <c r="H2025" i="1"/>
  <c r="H366" i="1"/>
  <c r="H478" i="1"/>
  <c r="H590" i="1"/>
  <c r="H702" i="1"/>
  <c r="H814" i="1"/>
  <c r="H926" i="1"/>
  <c r="H1038" i="1"/>
  <c r="H1101" i="1"/>
  <c r="H1150" i="1"/>
  <c r="H1402" i="1"/>
  <c r="H1514" i="1"/>
  <c r="H1626" i="1"/>
  <c r="H1738" i="1"/>
  <c r="H1850" i="1"/>
  <c r="H1962" i="1"/>
  <c r="H1325" i="1"/>
  <c r="H30" i="1"/>
  <c r="H142" i="1"/>
  <c r="H254" i="1"/>
  <c r="H639" i="1"/>
  <c r="H975" i="1"/>
  <c r="H1087" i="1"/>
  <c r="H1255" i="1"/>
  <c r="H1339" i="1"/>
  <c r="H1451" i="1"/>
  <c r="H1563" i="1"/>
  <c r="H1675" i="1"/>
  <c r="H1787" i="1"/>
  <c r="H1899" i="1"/>
  <c r="H2011" i="1"/>
  <c r="H93" i="1"/>
  <c r="H205" i="1"/>
  <c r="H317" i="1"/>
  <c r="H429" i="1"/>
  <c r="H541" i="1"/>
  <c r="H653" i="1"/>
  <c r="H765" i="1"/>
  <c r="H877" i="1"/>
  <c r="H79" i="1"/>
  <c r="H191" i="1"/>
  <c r="H303" i="1"/>
  <c r="H415" i="1"/>
  <c r="H527" i="1"/>
  <c r="H751" i="1"/>
  <c r="H863" i="1"/>
  <c r="H128" i="1"/>
  <c r="H240" i="1"/>
  <c r="H352" i="1"/>
  <c r="H464" i="1"/>
  <c r="H65" i="1"/>
  <c r="H177" i="1"/>
  <c r="H289" i="1"/>
  <c r="H401" i="1"/>
  <c r="H513" i="1"/>
  <c r="H625" i="1"/>
  <c r="H737" i="1"/>
  <c r="H849" i="1"/>
  <c r="H114" i="1"/>
  <c r="H226" i="1"/>
  <c r="H338" i="1"/>
  <c r="H450" i="1"/>
  <c r="H562" i="1"/>
  <c r="H786" i="1"/>
  <c r="H163" i="1"/>
  <c r="H275" i="1"/>
  <c r="H387" i="1"/>
  <c r="H499" i="1"/>
  <c r="H611" i="1"/>
  <c r="H723" i="1"/>
  <c r="H835" i="1"/>
  <c r="H100" i="1"/>
  <c r="H212" i="1"/>
  <c r="H324" i="1"/>
  <c r="H436" i="1"/>
  <c r="H548" i="1"/>
  <c r="H660" i="1"/>
  <c r="H772" i="1"/>
  <c r="H884" i="1"/>
  <c r="H149" i="1"/>
  <c r="H261" i="1"/>
  <c r="H373" i="1"/>
  <c r="H485" i="1"/>
  <c r="H597" i="1"/>
  <c r="H709" i="1"/>
  <c r="H821" i="1"/>
  <c r="H86" i="1"/>
  <c r="H198" i="1"/>
  <c r="H310" i="1"/>
  <c r="H422" i="1"/>
  <c r="H534" i="1"/>
  <c r="H646" i="1"/>
  <c r="H758" i="1"/>
  <c r="H870" i="1"/>
  <c r="H982" i="1"/>
  <c r="H1094" i="1"/>
  <c r="H1360" i="1"/>
  <c r="H1472" i="1"/>
  <c r="H1584" i="1"/>
  <c r="H1696" i="1"/>
  <c r="H1808" i="1"/>
  <c r="H1920" i="1"/>
  <c r="H2032" i="1"/>
  <c r="H135" i="1"/>
  <c r="H247" i="1"/>
  <c r="H359" i="1"/>
  <c r="H471" i="1"/>
  <c r="H583" i="1"/>
  <c r="H695" i="1"/>
  <c r="H807" i="1"/>
  <c r="H72" i="1"/>
  <c r="H184" i="1"/>
  <c r="H296" i="1"/>
  <c r="H408" i="1"/>
  <c r="H520" i="1"/>
  <c r="H632" i="1"/>
  <c r="H744" i="1"/>
  <c r="H856" i="1"/>
  <c r="H968" i="1"/>
  <c r="H1080" i="1"/>
  <c r="H1192" i="1"/>
  <c r="H1346" i="1"/>
  <c r="H1458" i="1"/>
  <c r="H1570" i="1"/>
  <c r="H1682" i="1"/>
  <c r="H1794" i="1"/>
  <c r="H1906" i="1"/>
  <c r="H2018" i="1"/>
  <c r="H121" i="1"/>
  <c r="H233" i="1"/>
  <c r="H345" i="1"/>
  <c r="H457" i="1"/>
  <c r="H569" i="1"/>
  <c r="H681" i="1"/>
  <c r="H793" i="1"/>
  <c r="H170" i="1"/>
  <c r="H282" i="1"/>
  <c r="H394" i="1"/>
  <c r="H506" i="1"/>
  <c r="H618" i="1"/>
  <c r="H730" i="1"/>
  <c r="H842" i="1"/>
  <c r="H954" i="1"/>
  <c r="H1066" i="1"/>
  <c r="H1178" i="1"/>
  <c r="H1206" i="1"/>
  <c r="H1332" i="1"/>
  <c r="H1444" i="1"/>
  <c r="H1556" i="1"/>
  <c r="H1668" i="1"/>
  <c r="H1780" i="1"/>
  <c r="H1892" i="1"/>
  <c r="H2004" i="1"/>
</calcChain>
</file>

<file path=xl/sharedStrings.xml><?xml version="1.0" encoding="utf-8"?>
<sst xmlns="http://schemas.openxmlformats.org/spreadsheetml/2006/main" count="3299" uniqueCount="18">
  <si>
    <t>Date</t>
  </si>
  <si>
    <t>Location</t>
  </si>
  <si>
    <t xml:space="preserve">Start </t>
  </si>
  <si>
    <t>Finish</t>
  </si>
  <si>
    <t>Break</t>
  </si>
  <si>
    <t>Hours Worked</t>
  </si>
  <si>
    <t>OT HOURS</t>
  </si>
  <si>
    <t>Total Hours Worked- Week</t>
  </si>
  <si>
    <t>On leave</t>
  </si>
  <si>
    <t>Working from home</t>
  </si>
  <si>
    <t>06:50</t>
  </si>
  <si>
    <t>15:30</t>
  </si>
  <si>
    <t>Normal work location</t>
  </si>
  <si>
    <t>Public Holiday</t>
  </si>
  <si>
    <t>RDO</t>
  </si>
  <si>
    <t>AFTER HOURS</t>
  </si>
  <si>
    <t>Monday 2 October 2023</t>
  </si>
  <si>
    <t>Public 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</si>
</sst>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1"/>
      <color theme="1"/>
      <name val="Aptos Narrow"/>
      <family val="2"/>
      <scheme val="minor"/>
    </font>
    <font>
      <b/>
      <sz val="15"/>
      <color rgb="FFFFFFFF"/>
      <name val="Arial"/>
      <family val="2"/>
    </font>
    <font>
      <sz val="6"/>
      <color rgb="FF000000"/>
      <name val="Arial"/>
      <family val="2"/>
    </font>
    <font>
      <sz val="9"/>
      <color theme="1"/>
      <name val="Arial"/>
      <family val="2"/>
    </font>
    <font>
      <sz val="9"/>
      <color theme="1"/>
      <name val="Arial"/>
    </font>
    <font>
      <sz val="9"/>
      <color theme="0"/>
      <name val="Arial"/>
      <family val="2"/>
    </font>
    <font>
      <sz val="6"/>
      <color theme="0"/>
      <name val="Arial"/>
      <family val="2"/>
    </font>
    <font>
      <sz val="9"/>
      <color rgb="FF000000"/>
      <name val="Arial"/>
      <family val="2"/>
    </font>
    <font>
      <sz val="10"/>
      <color theme="0"/>
      <name val="Arial"/>
    </font>
    <font>
      <sz val="9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484848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theme="1"/>
        <bgColor rgb="FFFFFFFF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218FA3"/>
        <bgColor rgb="FFFFFFFF"/>
      </patternFill>
    </fill>
    <fill>
      <patternFill patternType="solid">
        <fgColor rgb="FFC4004B"/>
        <bgColor rgb="FFFFFFFF"/>
      </patternFill>
    </fill>
  </fills>
  <borders count="32">
    <border>
      <left/>
      <right/>
      <top/>
      <bottom/>
      <diagonal/>
    </border>
    <border>
      <left style="thin">
        <color rgb="FFCACAD9"/>
      </left>
      <right/>
      <top/>
      <bottom/>
      <diagonal/>
    </border>
    <border>
      <left style="thin">
        <color rgb="FFCACAD9"/>
      </left>
      <right style="thin">
        <color rgb="FFCACAD9"/>
      </right>
      <top/>
      <bottom/>
      <diagonal/>
    </border>
    <border>
      <left style="thin">
        <color rgb="FFCAC9D9"/>
      </left>
      <right/>
      <top style="thin">
        <color rgb="FFCAC9D9"/>
      </top>
      <bottom/>
      <diagonal/>
    </border>
    <border>
      <left style="thin">
        <color rgb="FFCAC9D9"/>
      </left>
      <right style="thin">
        <color rgb="FFCAC9D9"/>
      </right>
      <top style="thin">
        <color rgb="FFCAC9D9"/>
      </top>
      <bottom/>
      <diagonal/>
    </border>
    <border>
      <left style="thin">
        <color rgb="FFCAC9D9"/>
      </left>
      <right/>
      <top style="thin">
        <color rgb="FFCAC9D9"/>
      </top>
      <bottom style="dotted">
        <color theme="4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dotted">
        <color theme="4"/>
      </bottom>
      <diagonal/>
    </border>
    <border>
      <left/>
      <right/>
      <top/>
      <bottom style="dotted">
        <color theme="4"/>
      </bottom>
      <diagonal/>
    </border>
    <border>
      <left style="thin">
        <color rgb="FFCAC9D9"/>
      </left>
      <right/>
      <top style="dotted">
        <color theme="4"/>
      </top>
      <bottom/>
      <diagonal/>
    </border>
    <border>
      <left style="thin">
        <color rgb="FFCAC9D9"/>
      </left>
      <right style="thin">
        <color rgb="FFCAC9D9"/>
      </right>
      <top style="dotted">
        <color theme="4"/>
      </top>
      <bottom/>
      <diagonal/>
    </border>
    <border>
      <left/>
      <right/>
      <top style="dotted">
        <color theme="4"/>
      </top>
      <bottom/>
      <diagonal/>
    </border>
    <border>
      <left style="thin">
        <color rgb="FFCAC9D9"/>
      </left>
      <right/>
      <top/>
      <bottom/>
      <diagonal/>
    </border>
    <border>
      <left style="thin">
        <color rgb="FFCAC9D9"/>
      </left>
      <right style="thin">
        <color rgb="FFCAC9D9"/>
      </right>
      <top/>
      <bottom/>
      <diagonal/>
    </border>
    <border>
      <left style="thin">
        <color rgb="FFCAC9D9"/>
      </left>
      <right/>
      <top/>
      <bottom style="dotted">
        <color rgb="FF218FA3"/>
      </bottom>
      <diagonal/>
    </border>
    <border>
      <left style="thin">
        <color rgb="FFCAC9D9"/>
      </left>
      <right style="thin">
        <color rgb="FFCAC9D9"/>
      </right>
      <top/>
      <bottom style="dotted">
        <color rgb="FF218FA3"/>
      </bottom>
      <diagonal/>
    </border>
    <border>
      <left/>
      <right/>
      <top/>
      <bottom style="dotted">
        <color rgb="FF218FA3"/>
      </bottom>
      <diagonal/>
    </border>
    <border>
      <left style="thin">
        <color rgb="FFCAC9D9"/>
      </left>
      <right/>
      <top style="dotted">
        <color rgb="FF218FA3"/>
      </top>
      <bottom/>
      <diagonal/>
    </border>
    <border>
      <left style="thin">
        <color rgb="FFCAC9D9"/>
      </left>
      <right style="thin">
        <color rgb="FFCAC9D9"/>
      </right>
      <top style="dotted">
        <color rgb="FF218FA3"/>
      </top>
      <bottom/>
      <diagonal/>
    </border>
    <border>
      <left/>
      <right/>
      <top style="dotted">
        <color rgb="FF218FA3"/>
      </top>
      <bottom/>
      <diagonal/>
    </border>
    <border>
      <left style="thin">
        <color rgb="FFCAC9D9"/>
      </left>
      <right/>
      <top style="thin">
        <color rgb="FFCAC9D9"/>
      </top>
      <bottom style="dotted">
        <color rgb="FF218FA3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dotted">
        <color rgb="FF218FA3"/>
      </bottom>
      <diagonal/>
    </border>
    <border>
      <left style="thin">
        <color rgb="FFCAC9D9"/>
      </left>
      <right/>
      <top style="double">
        <color rgb="FF3F3F3F"/>
      </top>
      <bottom/>
      <diagonal/>
    </border>
    <border>
      <left style="thin">
        <color rgb="FFCAC9D9"/>
      </left>
      <right style="thin">
        <color rgb="FFCAC9D9"/>
      </right>
      <top style="double">
        <color rgb="FF3F3F3F"/>
      </top>
      <bottom/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theme="6" tint="0.39997558519241921"/>
      </bottom>
      <diagonal/>
    </border>
    <border>
      <left style="thin">
        <color rgb="FFCAC9D9"/>
      </left>
      <right/>
      <top style="thin">
        <color rgb="FFCAC9D9"/>
      </top>
      <bottom style="dotted">
        <color rgb="FFCAC9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dotted">
        <color rgb="FFCAC9D9"/>
      </bottom>
      <diagonal/>
    </border>
    <border>
      <left/>
      <right/>
      <top/>
      <bottom style="dotted">
        <color rgb="FFCAC9D9"/>
      </bottom>
      <diagonal/>
    </border>
    <border>
      <left style="thin">
        <color rgb="FFCAC9D9"/>
      </left>
      <right/>
      <top style="dotted">
        <color rgb="FFCAC9D9"/>
      </top>
      <bottom/>
      <diagonal/>
    </border>
    <border>
      <left style="thin">
        <color rgb="FFCAC9D9"/>
      </left>
      <right style="thin">
        <color rgb="FFCAC9D9"/>
      </right>
      <top style="dotted">
        <color rgb="FFCAC9D9"/>
      </top>
      <bottom/>
      <diagonal/>
    </border>
    <border>
      <left/>
      <right/>
      <top style="dotted">
        <color rgb="FFCAC9D9"/>
      </top>
      <bottom/>
      <diagonal/>
    </border>
    <border>
      <left style="thin">
        <color rgb="FFCAC9D9"/>
      </left>
      <right style="thin">
        <color rgb="FFCAC9D9"/>
      </right>
      <top style="dotted">
        <color rgb="FF218FA3"/>
      </top>
      <bottom style="dotted">
        <color rgb="FFCAC9D9"/>
      </bottom>
      <diagonal/>
    </border>
    <border>
      <left/>
      <right/>
      <top/>
      <bottom style="thin">
        <color rgb="FFC9C9C9"/>
      </bottom>
      <diagonal/>
    </border>
  </borders>
  <cellStyleXfs count="1">
    <xf numFmtId="0" fontId="0" fillId="0" borderId="0"/>
  </cellStyleXfs>
  <cellXfs count="97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20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164" fontId="3" fillId="4" borderId="3" xfId="0" applyNumberFormat="1" applyFont="1" applyFill="1" applyBorder="1" applyAlignment="1">
      <alignment horizontal="left" vertical="top" wrapText="1"/>
    </xf>
    <xf numFmtId="49" fontId="3" fillId="3" borderId="4" xfId="0" applyNumberFormat="1" applyFont="1" applyFill="1" applyBorder="1" applyAlignment="1">
      <alignment horizontal="left" vertical="top" wrapText="1"/>
    </xf>
    <xf numFmtId="20" fontId="3" fillId="3" borderId="0" xfId="0" applyNumberFormat="1" applyFont="1" applyFill="1" applyAlignment="1">
      <alignment horizontal="center" vertical="top" wrapText="1"/>
    </xf>
    <xf numFmtId="20" fontId="4" fillId="4" borderId="0" xfId="0" applyNumberFormat="1" applyFont="1" applyFill="1" applyAlignment="1">
      <alignment horizontal="left" vertical="top" wrapText="1"/>
    </xf>
    <xf numFmtId="165" fontId="3" fillId="4" borderId="0" xfId="0" applyNumberFormat="1" applyFont="1" applyFill="1" applyAlignment="1">
      <alignment horizontal="center" vertical="top" wrapText="1"/>
    </xf>
    <xf numFmtId="164" fontId="3" fillId="3" borderId="3" xfId="0" applyNumberFormat="1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center" vertical="top" wrapText="1"/>
    </xf>
    <xf numFmtId="2" fontId="4" fillId="4" borderId="0" xfId="0" applyNumberFormat="1" applyFont="1" applyFill="1" applyAlignment="1">
      <alignment horizontal="left" vertical="top" wrapText="1"/>
    </xf>
    <xf numFmtId="2" fontId="3" fillId="4" borderId="0" xfId="0" applyNumberFormat="1" applyFont="1" applyFill="1" applyAlignment="1">
      <alignment horizontal="center" vertical="top" wrapText="1"/>
    </xf>
    <xf numFmtId="164" fontId="3" fillId="4" borderId="5" xfId="0" applyNumberFormat="1" applyFont="1" applyFill="1" applyBorder="1" applyAlignment="1">
      <alignment horizontal="left" vertical="top" wrapText="1"/>
    </xf>
    <xf numFmtId="49" fontId="3" fillId="3" borderId="6" xfId="0" applyNumberFormat="1" applyFont="1" applyFill="1" applyBorder="1" applyAlignment="1">
      <alignment horizontal="left" vertical="top" wrapText="1"/>
    </xf>
    <xf numFmtId="20" fontId="3" fillId="3" borderId="7" xfId="0" applyNumberFormat="1" applyFont="1" applyFill="1" applyBorder="1" applyAlignment="1">
      <alignment horizontal="center" vertical="top" wrapText="1"/>
    </xf>
    <xf numFmtId="0" fontId="2" fillId="3" borderId="7" xfId="0" applyFont="1" applyFill="1" applyBorder="1" applyAlignment="1">
      <alignment horizontal="left"/>
    </xf>
    <xf numFmtId="164" fontId="3" fillId="3" borderId="8" xfId="0" applyNumberFormat="1" applyFont="1" applyFill="1" applyBorder="1" applyAlignment="1">
      <alignment horizontal="left" vertical="top" wrapText="1"/>
    </xf>
    <xf numFmtId="49" fontId="3" fillId="3" borderId="9" xfId="0" applyNumberFormat="1" applyFont="1" applyFill="1" applyBorder="1" applyAlignment="1">
      <alignment horizontal="left" vertical="top" wrapText="1"/>
    </xf>
    <xf numFmtId="20" fontId="3" fillId="3" borderId="10" xfId="0" applyNumberFormat="1" applyFont="1" applyFill="1" applyBorder="1" applyAlignment="1">
      <alignment horizontal="center" vertical="top" wrapText="1"/>
    </xf>
    <xf numFmtId="0" fontId="2" fillId="3" borderId="10" xfId="0" applyFont="1" applyFill="1" applyBorder="1" applyAlignment="1">
      <alignment horizontal="left"/>
    </xf>
    <xf numFmtId="164" fontId="3" fillId="4" borderId="11" xfId="0" applyNumberFormat="1" applyFont="1" applyFill="1" applyBorder="1" applyAlignment="1">
      <alignment horizontal="left" vertical="top" wrapText="1"/>
    </xf>
    <xf numFmtId="49" fontId="3" fillId="3" borderId="12" xfId="0" applyNumberFormat="1" applyFont="1" applyFill="1" applyBorder="1" applyAlignment="1">
      <alignment horizontal="left" vertical="top" wrapText="1"/>
    </xf>
    <xf numFmtId="164" fontId="3" fillId="3" borderId="11" xfId="0" applyNumberFormat="1" applyFont="1" applyFill="1" applyBorder="1" applyAlignment="1">
      <alignment horizontal="left" vertical="top" wrapText="1"/>
    </xf>
    <xf numFmtId="164" fontId="3" fillId="3" borderId="13" xfId="0" applyNumberFormat="1" applyFont="1" applyFill="1" applyBorder="1" applyAlignment="1">
      <alignment horizontal="left" vertical="top" wrapText="1"/>
    </xf>
    <xf numFmtId="49" fontId="3" fillId="3" borderId="14" xfId="0" applyNumberFormat="1" applyFont="1" applyFill="1" applyBorder="1" applyAlignment="1">
      <alignment horizontal="left" vertical="top" wrapText="1"/>
    </xf>
    <xf numFmtId="20" fontId="3" fillId="3" borderId="15" xfId="0" applyNumberFormat="1" applyFont="1" applyFill="1" applyBorder="1" applyAlignment="1">
      <alignment horizontal="center" vertical="top" wrapText="1"/>
    </xf>
    <xf numFmtId="0" fontId="2" fillId="3" borderId="15" xfId="0" applyFont="1" applyFill="1" applyBorder="1" applyAlignment="1">
      <alignment horizontal="left"/>
    </xf>
    <xf numFmtId="164" fontId="3" fillId="4" borderId="16" xfId="0" applyNumberFormat="1" applyFont="1" applyFill="1" applyBorder="1" applyAlignment="1">
      <alignment horizontal="left" vertical="top" wrapText="1"/>
    </xf>
    <xf numFmtId="49" fontId="3" fillId="3" borderId="17" xfId="0" applyNumberFormat="1" applyFont="1" applyFill="1" applyBorder="1" applyAlignment="1">
      <alignment horizontal="left" vertical="top" wrapText="1"/>
    </xf>
    <xf numFmtId="20" fontId="3" fillId="3" borderId="18" xfId="0" applyNumberFormat="1" applyFont="1" applyFill="1" applyBorder="1" applyAlignment="1">
      <alignment horizontal="center" vertical="top" wrapText="1"/>
    </xf>
    <xf numFmtId="0" fontId="2" fillId="3" borderId="18" xfId="0" applyFont="1" applyFill="1" applyBorder="1" applyAlignment="1">
      <alignment horizontal="left"/>
    </xf>
    <xf numFmtId="164" fontId="3" fillId="4" borderId="19" xfId="0" applyNumberFormat="1" applyFont="1" applyFill="1" applyBorder="1" applyAlignment="1">
      <alignment horizontal="left" vertical="top" wrapText="1"/>
    </xf>
    <xf numFmtId="49" fontId="3" fillId="3" borderId="20" xfId="0" applyNumberFormat="1" applyFont="1" applyFill="1" applyBorder="1" applyAlignment="1">
      <alignment horizontal="left" vertical="top" wrapText="1"/>
    </xf>
    <xf numFmtId="164" fontId="3" fillId="3" borderId="16" xfId="0" applyNumberFormat="1" applyFont="1" applyFill="1" applyBorder="1" applyAlignment="1">
      <alignment horizontal="left" vertical="top" wrapText="1"/>
    </xf>
    <xf numFmtId="164" fontId="5" fillId="5" borderId="3" xfId="0" applyNumberFormat="1" applyFont="1" applyFill="1" applyBorder="1" applyAlignment="1">
      <alignment horizontal="left" vertical="top" wrapText="1"/>
    </xf>
    <xf numFmtId="49" fontId="5" fillId="5" borderId="4" xfId="0" applyNumberFormat="1" applyFont="1" applyFill="1" applyBorder="1" applyAlignment="1">
      <alignment horizontal="left" vertical="top" wrapText="1"/>
    </xf>
    <xf numFmtId="20" fontId="5" fillId="5" borderId="0" xfId="0" applyNumberFormat="1" applyFont="1" applyFill="1" applyAlignment="1">
      <alignment horizontal="center" vertical="top" wrapText="1"/>
    </xf>
    <xf numFmtId="20" fontId="5" fillId="5" borderId="0" xfId="0" applyNumberFormat="1" applyFont="1" applyFill="1" applyAlignment="1">
      <alignment horizontal="left" vertical="top" wrapText="1"/>
    </xf>
    <xf numFmtId="2" fontId="5" fillId="5" borderId="0" xfId="0" applyNumberFormat="1" applyFont="1" applyFill="1" applyAlignment="1">
      <alignment horizontal="center" vertical="top" wrapText="1"/>
    </xf>
    <xf numFmtId="0" fontId="6" fillId="5" borderId="0" xfId="0" applyFont="1" applyFill="1" applyAlignment="1">
      <alignment horizontal="left"/>
    </xf>
    <xf numFmtId="164" fontId="3" fillId="3" borderId="19" xfId="0" applyNumberFormat="1" applyFont="1" applyFill="1" applyBorder="1" applyAlignment="1">
      <alignment horizontal="left" vertical="top" wrapText="1"/>
    </xf>
    <xf numFmtId="164" fontId="3" fillId="4" borderId="21" xfId="0" applyNumberFormat="1" applyFont="1" applyFill="1" applyBorder="1" applyAlignment="1">
      <alignment horizontal="left" vertical="top" wrapText="1"/>
    </xf>
    <xf numFmtId="49" fontId="3" fillId="3" borderId="22" xfId="0" applyNumberFormat="1" applyFont="1" applyFill="1" applyBorder="1" applyAlignment="1">
      <alignment horizontal="left" vertical="top" wrapText="1"/>
    </xf>
    <xf numFmtId="0" fontId="3" fillId="4" borderId="18" xfId="0" applyFont="1" applyFill="1" applyBorder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4" borderId="15" xfId="0" applyFont="1" applyFill="1" applyBorder="1" applyAlignment="1">
      <alignment vertical="center" wrapText="1"/>
    </xf>
    <xf numFmtId="2" fontId="3" fillId="4" borderId="15" xfId="0" applyNumberFormat="1" applyFont="1" applyFill="1" applyBorder="1" applyAlignment="1">
      <alignment horizontal="center" vertical="top" wrapText="1"/>
    </xf>
    <xf numFmtId="0" fontId="7" fillId="4" borderId="0" xfId="0" applyFont="1" applyFill="1" applyAlignment="1">
      <alignment vertical="center" wrapText="1"/>
    </xf>
    <xf numFmtId="0" fontId="7" fillId="4" borderId="15" xfId="0" applyFont="1" applyFill="1" applyBorder="1" applyAlignment="1">
      <alignment vertical="center" wrapText="1"/>
    </xf>
    <xf numFmtId="0" fontId="0" fillId="0" borderId="18" xfId="0" applyBorder="1"/>
    <xf numFmtId="164" fontId="5" fillId="6" borderId="3" xfId="0" applyNumberFormat="1" applyFont="1" applyFill="1" applyBorder="1" applyAlignment="1">
      <alignment horizontal="left" vertical="top" wrapText="1"/>
    </xf>
    <xf numFmtId="49" fontId="5" fillId="6" borderId="4" xfId="0" applyNumberFormat="1" applyFont="1" applyFill="1" applyBorder="1" applyAlignment="1">
      <alignment horizontal="left" vertical="top" wrapText="1"/>
    </xf>
    <xf numFmtId="20" fontId="5" fillId="6" borderId="0" xfId="0" applyNumberFormat="1" applyFont="1" applyFill="1" applyAlignment="1">
      <alignment horizontal="center" vertical="top" wrapText="1"/>
    </xf>
    <xf numFmtId="0" fontId="8" fillId="6" borderId="0" xfId="0" applyFont="1" applyFill="1"/>
    <xf numFmtId="164" fontId="3" fillId="3" borderId="21" xfId="0" applyNumberFormat="1" applyFont="1" applyFill="1" applyBorder="1" applyAlignment="1">
      <alignment horizontal="left" vertical="top" wrapText="1"/>
    </xf>
    <xf numFmtId="0" fontId="0" fillId="0" borderId="15" xfId="0" applyBorder="1"/>
    <xf numFmtId="0" fontId="3" fillId="4" borderId="15" xfId="0" applyFont="1" applyFill="1" applyBorder="1" applyAlignment="1">
      <alignment horizontal="center" vertical="top" wrapText="1"/>
    </xf>
    <xf numFmtId="0" fontId="3" fillId="4" borderId="18" xfId="0" applyFont="1" applyFill="1" applyBorder="1" applyAlignment="1">
      <alignment horizontal="center" vertical="top" wrapText="1"/>
    </xf>
    <xf numFmtId="49" fontId="3" fillId="3" borderId="23" xfId="0" applyNumberFormat="1" applyFont="1" applyFill="1" applyBorder="1" applyAlignment="1">
      <alignment horizontal="left" vertical="top" wrapText="1"/>
    </xf>
    <xf numFmtId="2" fontId="3" fillId="4" borderId="18" xfId="0" applyNumberFormat="1" applyFont="1" applyFill="1" applyBorder="1" applyAlignment="1">
      <alignment horizontal="center" vertical="top" wrapText="1"/>
    </xf>
    <xf numFmtId="20" fontId="5" fillId="5" borderId="15" xfId="0" applyNumberFormat="1" applyFont="1" applyFill="1" applyBorder="1" applyAlignment="1">
      <alignment horizontal="center" vertical="top" wrapText="1"/>
    </xf>
    <xf numFmtId="20" fontId="4" fillId="5" borderId="0" xfId="0" applyNumberFormat="1" applyFont="1" applyFill="1" applyAlignment="1">
      <alignment horizontal="left" vertical="top" wrapText="1"/>
    </xf>
    <xf numFmtId="2" fontId="3" fillId="5" borderId="15" xfId="0" applyNumberFormat="1" applyFont="1" applyFill="1" applyBorder="1" applyAlignment="1">
      <alignment horizontal="center" vertical="top" wrapText="1"/>
    </xf>
    <xf numFmtId="0" fontId="0" fillId="7" borderId="15" xfId="0" applyFill="1" applyBorder="1"/>
    <xf numFmtId="164" fontId="3" fillId="4" borderId="24" xfId="0" applyNumberFormat="1" applyFont="1" applyFill="1" applyBorder="1" applyAlignment="1">
      <alignment horizontal="left" vertical="top" wrapText="1"/>
    </xf>
    <xf numFmtId="49" fontId="3" fillId="3" borderId="25" xfId="0" applyNumberFormat="1" applyFont="1" applyFill="1" applyBorder="1" applyAlignment="1">
      <alignment horizontal="left" vertical="top" wrapText="1"/>
    </xf>
    <xf numFmtId="20" fontId="3" fillId="3" borderId="26" xfId="0" applyNumberFormat="1" applyFont="1" applyFill="1" applyBorder="1" applyAlignment="1">
      <alignment horizontal="center" vertical="top" wrapText="1"/>
    </xf>
    <xf numFmtId="20" fontId="4" fillId="4" borderId="26" xfId="0" applyNumberFormat="1" applyFont="1" applyFill="1" applyBorder="1" applyAlignment="1">
      <alignment horizontal="left" vertical="top" wrapText="1"/>
    </xf>
    <xf numFmtId="2" fontId="3" fillId="4" borderId="26" xfId="0" applyNumberFormat="1" applyFont="1" applyFill="1" applyBorder="1" applyAlignment="1">
      <alignment horizontal="center" vertical="top" wrapText="1"/>
    </xf>
    <xf numFmtId="0" fontId="0" fillId="0" borderId="26" xfId="0" applyBorder="1"/>
    <xf numFmtId="164" fontId="3" fillId="3" borderId="27" xfId="0" applyNumberFormat="1" applyFont="1" applyFill="1" applyBorder="1" applyAlignment="1">
      <alignment horizontal="left" vertical="top" wrapText="1"/>
    </xf>
    <xf numFmtId="49" fontId="3" fillId="3" borderId="28" xfId="0" applyNumberFormat="1" applyFont="1" applyFill="1" applyBorder="1" applyAlignment="1">
      <alignment horizontal="left" vertical="top" wrapText="1"/>
    </xf>
    <xf numFmtId="20" fontId="3" fillId="3" borderId="29" xfId="0" applyNumberFormat="1" applyFont="1" applyFill="1" applyBorder="1" applyAlignment="1">
      <alignment horizontal="center" vertical="top" wrapText="1"/>
    </xf>
    <xf numFmtId="20" fontId="4" fillId="4" borderId="29" xfId="0" applyNumberFormat="1" applyFont="1" applyFill="1" applyBorder="1" applyAlignment="1">
      <alignment horizontal="left" vertical="top" wrapText="1"/>
    </xf>
    <xf numFmtId="2" fontId="3" fillId="4" borderId="29" xfId="0" applyNumberFormat="1" applyFont="1" applyFill="1" applyBorder="1" applyAlignment="1">
      <alignment horizontal="center" vertical="top" wrapText="1"/>
    </xf>
    <xf numFmtId="0" fontId="0" fillId="0" borderId="29" xfId="0" applyBorder="1"/>
    <xf numFmtId="20" fontId="4" fillId="4" borderId="15" xfId="0" applyNumberFormat="1" applyFont="1" applyFill="1" applyBorder="1" applyAlignment="1">
      <alignment horizontal="left" vertical="top" wrapText="1"/>
    </xf>
    <xf numFmtId="20" fontId="4" fillId="4" borderId="18" xfId="0" applyNumberFormat="1" applyFont="1" applyFill="1" applyBorder="1" applyAlignment="1">
      <alignment horizontal="left" vertical="top" wrapText="1"/>
    </xf>
    <xf numFmtId="49" fontId="3" fillId="3" borderId="30" xfId="0" applyNumberFormat="1" applyFont="1" applyFill="1" applyBorder="1" applyAlignment="1">
      <alignment horizontal="left" vertical="top" wrapText="1"/>
    </xf>
    <xf numFmtId="0" fontId="9" fillId="8" borderId="31" xfId="0" applyFont="1" applyFill="1" applyBorder="1" applyAlignment="1">
      <alignment wrapText="1"/>
    </xf>
    <xf numFmtId="0" fontId="9" fillId="9" borderId="31" xfId="0" applyFont="1" applyFill="1" applyBorder="1" applyAlignment="1">
      <alignment wrapText="1"/>
    </xf>
    <xf numFmtId="2" fontId="5" fillId="6" borderId="0" xfId="0" applyNumberFormat="1" applyFont="1" applyFill="1" applyAlignment="1">
      <alignment horizontal="center" vertical="top" wrapText="1"/>
    </xf>
    <xf numFmtId="20" fontId="4" fillId="3" borderId="0" xfId="0" applyNumberFormat="1" applyFont="1" applyFill="1" applyAlignment="1">
      <alignment horizontal="center" vertical="top" wrapText="1"/>
    </xf>
    <xf numFmtId="49" fontId="4" fillId="3" borderId="4" xfId="0" applyNumberFormat="1" applyFont="1" applyFill="1" applyBorder="1" applyAlignment="1">
      <alignment horizontal="left" vertical="top" wrapText="1"/>
    </xf>
    <xf numFmtId="49" fontId="4" fillId="3" borderId="12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2" fontId="3" fillId="4" borderId="18" xfId="0" applyNumberFormat="1" applyFont="1" applyFill="1" applyBorder="1" applyAlignment="1">
      <alignment horizontal="center" vertical="center" wrapText="1"/>
    </xf>
    <xf numFmtId="2" fontId="3" fillId="4" borderId="0" xfId="0" applyNumberFormat="1" applyFont="1" applyFill="1" applyAlignment="1">
      <alignment horizontal="center" vertical="center" wrapText="1"/>
    </xf>
    <xf numFmtId="2" fontId="3" fillId="4" borderId="15" xfId="0" applyNumberFormat="1" applyFont="1" applyFill="1" applyBorder="1" applyAlignment="1">
      <alignment horizontal="center" vertical="center" wrapText="1"/>
    </xf>
    <xf numFmtId="2" fontId="3" fillId="4" borderId="26" xfId="0" applyNumberFormat="1" applyFont="1" applyFill="1" applyBorder="1" applyAlignment="1">
      <alignment horizontal="center" vertical="center" wrapText="1"/>
    </xf>
    <xf numFmtId="2" fontId="3" fillId="4" borderId="29" xfId="0" applyNumberFormat="1" applyFont="1" applyFill="1" applyBorder="1" applyAlignment="1">
      <alignment horizontal="center" vertical="center" wrapText="1"/>
    </xf>
    <xf numFmtId="2" fontId="3" fillId="4" borderId="7" xfId="0" applyNumberFormat="1" applyFont="1" applyFill="1" applyBorder="1" applyAlignment="1">
      <alignment horizontal="center" vertical="center" wrapText="1"/>
    </xf>
    <xf numFmtId="2" fontId="3" fillId="4" borderId="1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5"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rgb="FFC4004B"/>
        </patternFill>
      </fill>
    </dxf>
    <dxf>
      <font>
        <color theme="0"/>
      </font>
      <fill>
        <patternFill>
          <bgColor rgb="FF218FA3"/>
        </patternFill>
      </fill>
    </dxf>
    <dxf>
      <font>
        <color theme="0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484545"/>
        </patternFill>
      </fill>
    </dxf>
    <dxf>
      <font>
        <color theme="0"/>
      </font>
      <fill>
        <patternFill>
          <bgColor theme="0" tint="-0.34998626667073579"/>
        </patternFill>
      </fill>
    </dxf>
    <dxf>
      <font>
        <b/>
        <i/>
        <color theme="0"/>
      </font>
      <fill>
        <gradientFill type="path" top="1" bottom="1">
          <stop position="0">
            <color rgb="FFFFC000"/>
          </stop>
          <stop position="1">
            <color rgb="FFFF0000"/>
          </stop>
        </gradientFill>
      </fill>
      <border>
        <left style="dashDot">
          <color theme="4"/>
        </left>
        <right style="dashDot">
          <color theme="4"/>
        </right>
        <top style="dashDot">
          <color theme="4"/>
        </top>
        <bottom style="dashDot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rgb="FFFFFFFF"/>
          <bgColor rgb="FFF0F0F4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6" formatCode="hh:mm"/>
      <fill>
        <patternFill patternType="solid">
          <fgColor rgb="FFFFFFFF"/>
          <bgColor rgb="FFFFFFFF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6" formatCode="hh:mm"/>
      <fill>
        <patternFill patternType="solid">
          <fgColor rgb="FFFFFFFF"/>
          <bgColor rgb="FFFFFFFF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4" formatCode="[$-F800]dddd\,\ mmmm\ dd\,\ yyyy"/>
      <fill>
        <patternFill patternType="solid">
          <fgColor rgb="FFFFFFFF"/>
          <bgColor rgb="FFF0F0F4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CAC9D9"/>
        </left>
        <right/>
        <top style="thin">
          <color rgb="FFCAC9D9"/>
        </top>
        <bottom/>
        <vertical/>
        <horizontal/>
      </border>
    </dxf>
    <dxf>
      <border outline="0">
        <top style="thin">
          <color rgb="FFCACAD9"/>
        </top>
        <bottom style="thin">
          <color rgb="FFCAC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rgb="FFFFFFFF"/>
          <bgColor rgb="FFF0F0F4"/>
        </patternFill>
      </fill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FFFFFF"/>
        <name val="Arial"/>
        <family val="2"/>
        <scheme val="none"/>
      </font>
      <numFmt numFmtId="30" formatCode="@"/>
      <fill>
        <patternFill patternType="solid">
          <fgColor rgb="FFFFFFFF"/>
          <bgColor rgb="FF48484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ACAD9"/>
        </left>
        <right style="thin">
          <color rgb="FFCACAD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816E2F-FC9A-4CAD-BAA2-F8488ABACCCB}" name="working_data4" displayName="working_data4" ref="A1:E2050" totalsRowShown="0" headerRowDxfId="14" dataDxfId="13" tableBorderDxfId="12">
  <autoFilter ref="A1:E2050" xr:uid="{FE816E2F-FC9A-4CAD-BAA2-F8488ABACCCB}"/>
  <tableColumns count="5">
    <tableColumn id="2" xr3:uid="{B8211A36-2B65-4C7A-A2BA-CFC966DF132C}" name="Date" dataDxfId="11"/>
    <tableColumn id="4" xr3:uid="{97AF658A-4160-45C7-B0D1-673F32BBB7F8}" name="Location" dataDxfId="10"/>
    <tableColumn id="7" xr3:uid="{40CCD99B-8C69-4E29-976E-46F3034F1EF2}" name="Start " dataDxfId="9"/>
    <tableColumn id="8" xr3:uid="{EE99B39A-0395-458E-8327-B9A64D835A81}" name="Finish" dataDxfId="8"/>
    <tableColumn id="1" xr3:uid="{A1306C5D-37DB-44F9-8049-6ACC7AB83456}" name="Break" dataDxfId="7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A60B7-B95D-495A-9E97-6CA573310985}">
  <dimension ref="A1:K2050"/>
  <sheetViews>
    <sheetView tabSelected="1" topLeftCell="A2021" workbookViewId="0">
      <selection activeCell="B2008" sqref="B2008:E2008"/>
    </sheetView>
  </sheetViews>
  <sheetFormatPr defaultColWidth="32" defaultRowHeight="15" x14ac:dyDescent="0.25"/>
  <cols>
    <col min="1" max="1" width="29.42578125" customWidth="1"/>
    <col min="2" max="2" width="17.85546875" bestFit="1" customWidth="1"/>
    <col min="3" max="3" width="12.42578125" style="89" bestFit="1" customWidth="1"/>
    <col min="4" max="4" width="14" style="89" bestFit="1" customWidth="1"/>
    <col min="5" max="5" width="14" style="89" customWidth="1"/>
    <col min="6" max="6" width="21" style="88" bestFit="1" customWidth="1"/>
    <col min="7" max="7" width="16.5703125" bestFit="1" customWidth="1"/>
    <col min="8" max="8" width="30" bestFit="1" customWidth="1"/>
  </cols>
  <sheetData>
    <row r="1" spans="1:9" s="5" customFormat="1" ht="54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4" t="s">
        <v>7</v>
      </c>
    </row>
    <row r="2" spans="1:9" s="5" customFormat="1" ht="12" x14ac:dyDescent="0.15">
      <c r="A2" s="6">
        <v>43983</v>
      </c>
      <c r="B2" s="7" t="s">
        <v>8</v>
      </c>
      <c r="C2" s="8"/>
      <c r="D2" s="8"/>
      <c r="E2" s="9"/>
      <c r="F2" s="10"/>
      <c r="H2" s="91">
        <f>SUM(F2:F8)</f>
        <v>25.250000000000004</v>
      </c>
    </row>
    <row r="3" spans="1:9" s="5" customFormat="1" ht="12" x14ac:dyDescent="0.15">
      <c r="A3" s="11">
        <v>43984</v>
      </c>
      <c r="B3" s="7" t="s">
        <v>8</v>
      </c>
      <c r="C3" s="8"/>
      <c r="D3" s="8"/>
      <c r="E3" s="9"/>
      <c r="F3" s="12" t="str">
        <f>IF(OR(B3="RDO", B3="On Leave"), "", SUM(#REF!))</f>
        <v/>
      </c>
      <c r="H3" s="91"/>
    </row>
    <row r="4" spans="1:9" s="5" customFormat="1" ht="12" x14ac:dyDescent="0.15">
      <c r="A4" s="6">
        <v>43985</v>
      </c>
      <c r="B4" s="7" t="s">
        <v>9</v>
      </c>
      <c r="C4" s="8" t="s">
        <v>10</v>
      </c>
      <c r="D4" s="8" t="s">
        <v>11</v>
      </c>
      <c r="E4" s="13">
        <v>0.75</v>
      </c>
      <c r="F4" s="14">
        <f>IF(C4="", "", IF(D4="", "", (D4-C4)*24 - E4))</f>
        <v>7.9166666666666679</v>
      </c>
      <c r="H4" s="91"/>
      <c r="I4" s="5">
        <f>IF(C4="", "", IF(D4="", "", (D4-C4)*24 - E4))</f>
        <v>7.9166666666666679</v>
      </c>
    </row>
    <row r="5" spans="1:9" s="5" customFormat="1" ht="12" x14ac:dyDescent="0.15">
      <c r="A5" s="11">
        <v>43986</v>
      </c>
      <c r="B5" s="7" t="s">
        <v>9</v>
      </c>
      <c r="C5" s="8" t="s">
        <v>10</v>
      </c>
      <c r="D5" s="8" t="s">
        <v>11</v>
      </c>
      <c r="E5" s="9"/>
      <c r="F5" s="14">
        <f t="shared" ref="F5:F68" si="0">IF(C5="", "", IF(D5="", "", (D5-C5)*24 - E5))</f>
        <v>8.6666666666666679</v>
      </c>
      <c r="H5" s="91"/>
    </row>
    <row r="6" spans="1:9" s="5" customFormat="1" ht="12" x14ac:dyDescent="0.15">
      <c r="A6" s="6">
        <v>43987</v>
      </c>
      <c r="B6" s="7" t="s">
        <v>9</v>
      </c>
      <c r="C6" s="8" t="s">
        <v>10</v>
      </c>
      <c r="D6" s="8" t="s">
        <v>11</v>
      </c>
      <c r="E6" s="9"/>
      <c r="F6" s="14">
        <f t="shared" si="0"/>
        <v>8.6666666666666679</v>
      </c>
      <c r="H6" s="91"/>
    </row>
    <row r="7" spans="1:9" s="5" customFormat="1" ht="12" x14ac:dyDescent="0.15">
      <c r="A7" s="11">
        <v>43988</v>
      </c>
      <c r="B7" s="7" t="s">
        <v>8</v>
      </c>
      <c r="C7" s="8"/>
      <c r="D7" s="8"/>
      <c r="E7" s="9"/>
      <c r="F7" s="14" t="str">
        <f t="shared" si="0"/>
        <v/>
      </c>
      <c r="H7" s="91"/>
    </row>
    <row r="8" spans="1:9" s="5" customFormat="1" ht="12" x14ac:dyDescent="0.15">
      <c r="A8" s="15">
        <v>43989</v>
      </c>
      <c r="B8" s="16" t="s">
        <v>8</v>
      </c>
      <c r="C8" s="17"/>
      <c r="D8" s="8"/>
      <c r="E8" s="9"/>
      <c r="F8" s="14" t="str">
        <f t="shared" si="0"/>
        <v/>
      </c>
      <c r="G8" s="18"/>
      <c r="H8" s="95"/>
    </row>
    <row r="9" spans="1:9" s="5" customFormat="1" ht="12" x14ac:dyDescent="0.15">
      <c r="A9" s="19">
        <v>43990</v>
      </c>
      <c r="B9" s="20" t="s">
        <v>9</v>
      </c>
      <c r="C9" s="21" t="s">
        <v>10</v>
      </c>
      <c r="D9" s="8" t="s">
        <v>11</v>
      </c>
      <c r="E9" s="9"/>
      <c r="F9" s="14">
        <f t="shared" si="0"/>
        <v>8.6666666666666679</v>
      </c>
      <c r="G9" s="22"/>
      <c r="H9" s="96">
        <f>SUM(F9:F15)</f>
        <v>43.333333333333343</v>
      </c>
    </row>
    <row r="10" spans="1:9" s="5" customFormat="1" ht="12" x14ac:dyDescent="0.15">
      <c r="A10" s="23">
        <v>43991</v>
      </c>
      <c r="B10" s="24" t="s">
        <v>9</v>
      </c>
      <c r="C10" s="8" t="s">
        <v>10</v>
      </c>
      <c r="D10" s="8" t="s">
        <v>11</v>
      </c>
      <c r="E10" s="9"/>
      <c r="F10" s="14">
        <f t="shared" si="0"/>
        <v>8.6666666666666679</v>
      </c>
      <c r="H10" s="91"/>
    </row>
    <row r="11" spans="1:9" s="5" customFormat="1" ht="12" x14ac:dyDescent="0.15">
      <c r="A11" s="25">
        <v>43992</v>
      </c>
      <c r="B11" s="24" t="s">
        <v>9</v>
      </c>
      <c r="C11" s="8" t="s">
        <v>10</v>
      </c>
      <c r="D11" s="8" t="s">
        <v>11</v>
      </c>
      <c r="E11" s="9"/>
      <c r="F11" s="14">
        <f t="shared" si="0"/>
        <v>8.6666666666666679</v>
      </c>
      <c r="H11" s="91"/>
    </row>
    <row r="12" spans="1:9" s="5" customFormat="1" ht="12" x14ac:dyDescent="0.15">
      <c r="A12" s="23">
        <v>43993</v>
      </c>
      <c r="B12" s="24" t="s">
        <v>9</v>
      </c>
      <c r="C12" s="8" t="s">
        <v>10</v>
      </c>
      <c r="D12" s="8" t="s">
        <v>11</v>
      </c>
      <c r="E12" s="9"/>
      <c r="F12" s="14">
        <f t="shared" si="0"/>
        <v>8.6666666666666679</v>
      </c>
      <c r="H12" s="91"/>
    </row>
    <row r="13" spans="1:9" s="5" customFormat="1" ht="12" x14ac:dyDescent="0.15">
      <c r="A13" s="25">
        <v>43994</v>
      </c>
      <c r="B13" s="24" t="s">
        <v>9</v>
      </c>
      <c r="C13" s="8" t="s">
        <v>10</v>
      </c>
      <c r="D13" s="8" t="s">
        <v>11</v>
      </c>
      <c r="E13" s="9"/>
      <c r="F13" s="14">
        <f t="shared" si="0"/>
        <v>8.6666666666666679</v>
      </c>
      <c r="H13" s="91"/>
    </row>
    <row r="14" spans="1:9" s="5" customFormat="1" ht="12" x14ac:dyDescent="0.15">
      <c r="A14" s="23">
        <v>43995</v>
      </c>
      <c r="B14" s="24" t="s">
        <v>8</v>
      </c>
      <c r="C14" s="8"/>
      <c r="D14" s="8"/>
      <c r="E14" s="9"/>
      <c r="F14" s="14" t="str">
        <f t="shared" si="0"/>
        <v/>
      </c>
      <c r="H14" s="91"/>
    </row>
    <row r="15" spans="1:9" s="5" customFormat="1" ht="12" x14ac:dyDescent="0.15">
      <c r="A15" s="26">
        <v>43996</v>
      </c>
      <c r="B15" s="27" t="s">
        <v>8</v>
      </c>
      <c r="C15" s="28"/>
      <c r="D15" s="8"/>
      <c r="E15" s="9"/>
      <c r="F15" s="14" t="str">
        <f t="shared" si="0"/>
        <v/>
      </c>
      <c r="G15" s="29"/>
      <c r="H15" s="92"/>
    </row>
    <row r="16" spans="1:9" s="5" customFormat="1" ht="12" x14ac:dyDescent="0.15">
      <c r="A16" s="30">
        <v>43997</v>
      </c>
      <c r="B16" s="31" t="s">
        <v>9</v>
      </c>
      <c r="C16" s="32" t="s">
        <v>10</v>
      </c>
      <c r="D16" s="8" t="s">
        <v>11</v>
      </c>
      <c r="E16" s="9"/>
      <c r="F16" s="14">
        <f t="shared" si="0"/>
        <v>8.6666666666666679</v>
      </c>
      <c r="G16" s="33"/>
      <c r="H16" s="90">
        <f t="shared" ref="H16" si="1">SUM(F16:F22)</f>
        <v>43.333333333333343</v>
      </c>
    </row>
    <row r="17" spans="1:8" s="5" customFormat="1" ht="12" x14ac:dyDescent="0.15">
      <c r="A17" s="11">
        <v>43998</v>
      </c>
      <c r="B17" s="7" t="s">
        <v>9</v>
      </c>
      <c r="C17" s="8" t="s">
        <v>10</v>
      </c>
      <c r="D17" s="8" t="s">
        <v>11</v>
      </c>
      <c r="E17" s="9"/>
      <c r="F17" s="14">
        <f t="shared" si="0"/>
        <v>8.6666666666666679</v>
      </c>
      <c r="H17" s="91"/>
    </row>
    <row r="18" spans="1:8" s="5" customFormat="1" ht="12" x14ac:dyDescent="0.15">
      <c r="A18" s="6">
        <v>43999</v>
      </c>
      <c r="B18" s="7" t="s">
        <v>9</v>
      </c>
      <c r="C18" s="8" t="s">
        <v>10</v>
      </c>
      <c r="D18" s="8" t="s">
        <v>11</v>
      </c>
      <c r="E18" s="9"/>
      <c r="F18" s="14">
        <f t="shared" si="0"/>
        <v>8.6666666666666679</v>
      </c>
      <c r="H18" s="91"/>
    </row>
    <row r="19" spans="1:8" s="5" customFormat="1" ht="12" x14ac:dyDescent="0.15">
      <c r="A19" s="11">
        <v>44000</v>
      </c>
      <c r="B19" s="7" t="s">
        <v>9</v>
      </c>
      <c r="C19" s="8" t="s">
        <v>10</v>
      </c>
      <c r="D19" s="8" t="s">
        <v>11</v>
      </c>
      <c r="E19" s="9"/>
      <c r="F19" s="14">
        <f t="shared" si="0"/>
        <v>8.6666666666666679</v>
      </c>
      <c r="H19" s="91"/>
    </row>
    <row r="20" spans="1:8" s="5" customFormat="1" ht="12" x14ac:dyDescent="0.15">
      <c r="A20" s="6">
        <v>44001</v>
      </c>
      <c r="B20" s="7" t="s">
        <v>9</v>
      </c>
      <c r="C20" s="8" t="s">
        <v>10</v>
      </c>
      <c r="D20" s="8" t="s">
        <v>11</v>
      </c>
      <c r="E20" s="9"/>
      <c r="F20" s="14">
        <f t="shared" si="0"/>
        <v>8.6666666666666679</v>
      </c>
      <c r="H20" s="91"/>
    </row>
    <row r="21" spans="1:8" s="5" customFormat="1" ht="12" x14ac:dyDescent="0.15">
      <c r="A21" s="11">
        <v>44002</v>
      </c>
      <c r="B21" s="7" t="s">
        <v>8</v>
      </c>
      <c r="C21" s="8"/>
      <c r="D21" s="8"/>
      <c r="E21" s="9"/>
      <c r="F21" s="14" t="str">
        <f t="shared" si="0"/>
        <v/>
      </c>
      <c r="H21" s="91"/>
    </row>
    <row r="22" spans="1:8" s="5" customFormat="1" ht="12" x14ac:dyDescent="0.15">
      <c r="A22" s="34">
        <v>44003</v>
      </c>
      <c r="B22" s="35" t="s">
        <v>8</v>
      </c>
      <c r="C22" s="28"/>
      <c r="D22" s="8"/>
      <c r="E22" s="9"/>
      <c r="F22" s="14" t="str">
        <f t="shared" si="0"/>
        <v/>
      </c>
      <c r="G22" s="29"/>
      <c r="H22" s="92"/>
    </row>
    <row r="23" spans="1:8" s="5" customFormat="1" ht="12" x14ac:dyDescent="0.15">
      <c r="A23" s="36">
        <v>44004</v>
      </c>
      <c r="B23" s="31" t="s">
        <v>8</v>
      </c>
      <c r="C23" s="32"/>
      <c r="D23" s="8"/>
      <c r="E23" s="9"/>
      <c r="F23" s="14" t="str">
        <f t="shared" si="0"/>
        <v/>
      </c>
      <c r="G23" s="33"/>
      <c r="H23" s="90">
        <f t="shared" ref="H23" si="2">SUM(F23:F29)</f>
        <v>34.666666666666671</v>
      </c>
    </row>
    <row r="24" spans="1:8" s="5" customFormat="1" ht="12" x14ac:dyDescent="0.15">
      <c r="A24" s="6">
        <v>44005</v>
      </c>
      <c r="B24" s="7" t="s">
        <v>9</v>
      </c>
      <c r="C24" s="8" t="s">
        <v>10</v>
      </c>
      <c r="D24" s="8" t="s">
        <v>11</v>
      </c>
      <c r="E24" s="9"/>
      <c r="F24" s="14">
        <f t="shared" si="0"/>
        <v>8.6666666666666679</v>
      </c>
      <c r="H24" s="91"/>
    </row>
    <row r="25" spans="1:8" s="5" customFormat="1" ht="12" x14ac:dyDescent="0.15">
      <c r="A25" s="11">
        <v>44006</v>
      </c>
      <c r="B25" s="7" t="s">
        <v>9</v>
      </c>
      <c r="C25" s="8" t="s">
        <v>10</v>
      </c>
      <c r="D25" s="8" t="s">
        <v>11</v>
      </c>
      <c r="E25" s="9"/>
      <c r="F25" s="14">
        <f t="shared" si="0"/>
        <v>8.6666666666666679</v>
      </c>
      <c r="H25" s="91"/>
    </row>
    <row r="26" spans="1:8" s="5" customFormat="1" ht="12" x14ac:dyDescent="0.15">
      <c r="A26" s="6">
        <v>44007</v>
      </c>
      <c r="B26" s="7" t="s">
        <v>9</v>
      </c>
      <c r="C26" s="8" t="s">
        <v>10</v>
      </c>
      <c r="D26" s="8" t="s">
        <v>11</v>
      </c>
      <c r="E26" s="9"/>
      <c r="F26" s="14">
        <f t="shared" si="0"/>
        <v>8.6666666666666679</v>
      </c>
      <c r="H26" s="91"/>
    </row>
    <row r="27" spans="1:8" s="5" customFormat="1" ht="12" x14ac:dyDescent="0.15">
      <c r="A27" s="11">
        <v>44008</v>
      </c>
      <c r="B27" s="7" t="s">
        <v>9</v>
      </c>
      <c r="C27" s="8" t="s">
        <v>10</v>
      </c>
      <c r="D27" s="8" t="s">
        <v>11</v>
      </c>
      <c r="E27" s="9"/>
      <c r="F27" s="14">
        <f t="shared" si="0"/>
        <v>8.6666666666666679</v>
      </c>
      <c r="H27" s="91"/>
    </row>
    <row r="28" spans="1:8" s="5" customFormat="1" ht="12" x14ac:dyDescent="0.15">
      <c r="A28" s="6">
        <v>44009</v>
      </c>
      <c r="B28" s="7" t="s">
        <v>8</v>
      </c>
      <c r="C28" s="8"/>
      <c r="D28" s="8"/>
      <c r="E28" s="9"/>
      <c r="F28" s="14" t="str">
        <f t="shared" si="0"/>
        <v/>
      </c>
      <c r="H28" s="91"/>
    </row>
    <row r="29" spans="1:8" s="5" customFormat="1" ht="12" x14ac:dyDescent="0.15">
      <c r="A29" s="11">
        <v>44010</v>
      </c>
      <c r="B29" s="7" t="s">
        <v>8</v>
      </c>
      <c r="C29" s="8"/>
      <c r="D29" s="8"/>
      <c r="E29" s="9"/>
      <c r="F29" s="14" t="str">
        <f t="shared" si="0"/>
        <v/>
      </c>
      <c r="H29" s="91"/>
    </row>
    <row r="30" spans="1:8" s="5" customFormat="1" ht="12" x14ac:dyDescent="0.15">
      <c r="A30" s="30">
        <v>44011</v>
      </c>
      <c r="B30" s="31" t="s">
        <v>9</v>
      </c>
      <c r="C30" s="32" t="s">
        <v>10</v>
      </c>
      <c r="D30" s="8" t="s">
        <v>11</v>
      </c>
      <c r="E30" s="9"/>
      <c r="F30" s="14">
        <f t="shared" si="0"/>
        <v>8.6666666666666679</v>
      </c>
      <c r="G30" s="33"/>
      <c r="H30" s="90">
        <f>SUM(F30:F35)</f>
        <v>17.333333333333336</v>
      </c>
    </row>
    <row r="31" spans="1:8" s="5" customFormat="1" ht="12" x14ac:dyDescent="0.15">
      <c r="A31" s="37">
        <v>44012</v>
      </c>
      <c r="B31" s="38" t="s">
        <v>9</v>
      </c>
      <c r="C31" s="39" t="s">
        <v>10</v>
      </c>
      <c r="D31" s="39" t="s">
        <v>11</v>
      </c>
      <c r="E31" s="40"/>
      <c r="F31" s="41">
        <f t="shared" si="0"/>
        <v>8.6666666666666679</v>
      </c>
      <c r="G31" s="42"/>
      <c r="H31" s="91"/>
    </row>
    <row r="32" spans="1:8" s="5" customFormat="1" ht="12" x14ac:dyDescent="0.15">
      <c r="A32" s="6">
        <v>44013</v>
      </c>
      <c r="B32" s="7" t="s">
        <v>8</v>
      </c>
      <c r="C32" s="8"/>
      <c r="D32" s="8"/>
      <c r="E32" s="9"/>
      <c r="F32" s="14" t="str">
        <f t="shared" si="0"/>
        <v/>
      </c>
      <c r="H32" s="91"/>
    </row>
    <row r="33" spans="1:8" s="5" customFormat="1" ht="12" x14ac:dyDescent="0.15">
      <c r="A33" s="11">
        <v>44014</v>
      </c>
      <c r="B33" s="7" t="s">
        <v>8</v>
      </c>
      <c r="C33" s="8"/>
      <c r="D33" s="8"/>
      <c r="E33" s="9"/>
      <c r="F33" s="14" t="str">
        <f t="shared" si="0"/>
        <v/>
      </c>
      <c r="H33" s="91"/>
    </row>
    <row r="34" spans="1:8" s="5" customFormat="1" ht="12" x14ac:dyDescent="0.15">
      <c r="A34" s="6">
        <v>44015</v>
      </c>
      <c r="B34" s="7" t="s">
        <v>8</v>
      </c>
      <c r="C34" s="8"/>
      <c r="D34" s="8"/>
      <c r="E34" s="9"/>
      <c r="F34" s="14" t="str">
        <f t="shared" si="0"/>
        <v/>
      </c>
      <c r="H34" s="91"/>
    </row>
    <row r="35" spans="1:8" s="5" customFormat="1" ht="12" x14ac:dyDescent="0.15">
      <c r="A35" s="11">
        <v>44016</v>
      </c>
      <c r="B35" s="7" t="s">
        <v>8</v>
      </c>
      <c r="C35" s="8"/>
      <c r="D35" s="8"/>
      <c r="E35" s="9"/>
      <c r="F35" s="14" t="str">
        <f t="shared" si="0"/>
        <v/>
      </c>
      <c r="H35" s="91"/>
    </row>
    <row r="36" spans="1:8" s="5" customFormat="1" ht="12" x14ac:dyDescent="0.15">
      <c r="A36" s="34">
        <v>44017</v>
      </c>
      <c r="B36" s="35" t="s">
        <v>8</v>
      </c>
      <c r="C36" s="28"/>
      <c r="D36" s="8"/>
      <c r="E36" s="9"/>
      <c r="F36" s="14" t="str">
        <f t="shared" si="0"/>
        <v/>
      </c>
      <c r="G36" s="29"/>
      <c r="H36" s="92"/>
    </row>
    <row r="37" spans="1:8" s="5" customFormat="1" ht="12" x14ac:dyDescent="0.15">
      <c r="A37" s="36">
        <v>44018</v>
      </c>
      <c r="B37" s="31" t="s">
        <v>8</v>
      </c>
      <c r="C37" s="32"/>
      <c r="D37" s="8"/>
      <c r="E37" s="9"/>
      <c r="F37" s="14" t="str">
        <f t="shared" si="0"/>
        <v/>
      </c>
      <c r="G37" s="33"/>
      <c r="H37" s="90">
        <f t="shared" ref="H37" si="3">SUM(F37:F43)</f>
        <v>0</v>
      </c>
    </row>
    <row r="38" spans="1:8" s="5" customFormat="1" ht="12" x14ac:dyDescent="0.15">
      <c r="A38" s="6">
        <v>44019</v>
      </c>
      <c r="B38" s="7" t="s">
        <v>8</v>
      </c>
      <c r="C38" s="8"/>
      <c r="D38" s="8"/>
      <c r="E38" s="9"/>
      <c r="F38" s="14" t="str">
        <f t="shared" si="0"/>
        <v/>
      </c>
      <c r="H38" s="91"/>
    </row>
    <row r="39" spans="1:8" s="5" customFormat="1" ht="12" x14ac:dyDescent="0.15">
      <c r="A39" s="11">
        <v>44020</v>
      </c>
      <c r="B39" s="7" t="s">
        <v>8</v>
      </c>
      <c r="C39" s="8"/>
      <c r="D39" s="8"/>
      <c r="E39" s="9"/>
      <c r="F39" s="14" t="str">
        <f t="shared" si="0"/>
        <v/>
      </c>
      <c r="H39" s="91"/>
    </row>
    <row r="40" spans="1:8" s="5" customFormat="1" ht="12" x14ac:dyDescent="0.15">
      <c r="A40" s="6">
        <v>44021</v>
      </c>
      <c r="B40" s="7" t="s">
        <v>8</v>
      </c>
      <c r="C40" s="8"/>
      <c r="D40" s="8"/>
      <c r="E40" s="9"/>
      <c r="F40" s="14" t="str">
        <f t="shared" si="0"/>
        <v/>
      </c>
      <c r="H40" s="91"/>
    </row>
    <row r="41" spans="1:8" s="5" customFormat="1" ht="12" x14ac:dyDescent="0.15">
      <c r="A41" s="11">
        <v>44022</v>
      </c>
      <c r="B41" s="7" t="s">
        <v>8</v>
      </c>
      <c r="C41" s="8"/>
      <c r="D41" s="8"/>
      <c r="E41" s="9"/>
      <c r="F41" s="14" t="str">
        <f t="shared" si="0"/>
        <v/>
      </c>
      <c r="H41" s="91"/>
    </row>
    <row r="42" spans="1:8" s="5" customFormat="1" ht="12" x14ac:dyDescent="0.15">
      <c r="A42" s="6">
        <v>44023</v>
      </c>
      <c r="B42" s="7" t="s">
        <v>8</v>
      </c>
      <c r="C42" s="8"/>
      <c r="D42" s="8"/>
      <c r="E42" s="9"/>
      <c r="F42" s="14" t="str">
        <f t="shared" si="0"/>
        <v/>
      </c>
      <c r="H42" s="91"/>
    </row>
    <row r="43" spans="1:8" s="5" customFormat="1" ht="12" x14ac:dyDescent="0.15">
      <c r="A43" s="43">
        <v>44024</v>
      </c>
      <c r="B43" s="35" t="s">
        <v>8</v>
      </c>
      <c r="C43" s="28"/>
      <c r="D43" s="8"/>
      <c r="E43" s="9"/>
      <c r="F43" s="14" t="str">
        <f t="shared" si="0"/>
        <v/>
      </c>
      <c r="G43" s="29"/>
      <c r="H43" s="92"/>
    </row>
    <row r="44" spans="1:8" s="5" customFormat="1" ht="12" x14ac:dyDescent="0.15">
      <c r="A44" s="30">
        <v>44025</v>
      </c>
      <c r="B44" s="31" t="s">
        <v>8</v>
      </c>
      <c r="C44" s="32"/>
      <c r="D44" s="8"/>
      <c r="E44" s="9"/>
      <c r="F44" s="14" t="str">
        <f t="shared" si="0"/>
        <v/>
      </c>
      <c r="G44" s="33"/>
      <c r="H44" s="90">
        <f t="shared" ref="H44:H58" si="4">SUM(F44:F50)</f>
        <v>0</v>
      </c>
    </row>
    <row r="45" spans="1:8" s="5" customFormat="1" ht="12" x14ac:dyDescent="0.15">
      <c r="A45" s="11">
        <v>44026</v>
      </c>
      <c r="B45" s="7" t="s">
        <v>8</v>
      </c>
      <c r="C45" s="8"/>
      <c r="D45" s="8"/>
      <c r="E45" s="9"/>
      <c r="F45" s="14" t="str">
        <f t="shared" si="0"/>
        <v/>
      </c>
      <c r="H45" s="91"/>
    </row>
    <row r="46" spans="1:8" s="5" customFormat="1" ht="12" x14ac:dyDescent="0.15">
      <c r="A46" s="6">
        <v>44027</v>
      </c>
      <c r="B46" s="7" t="s">
        <v>8</v>
      </c>
      <c r="C46" s="8"/>
      <c r="D46" s="8"/>
      <c r="E46" s="9"/>
      <c r="F46" s="14" t="str">
        <f t="shared" si="0"/>
        <v/>
      </c>
      <c r="H46" s="91"/>
    </row>
    <row r="47" spans="1:8" s="5" customFormat="1" ht="12" x14ac:dyDescent="0.15">
      <c r="A47" s="11">
        <v>44028</v>
      </c>
      <c r="B47" s="7" t="s">
        <v>8</v>
      </c>
      <c r="C47" s="8"/>
      <c r="D47" s="8"/>
      <c r="E47" s="9"/>
      <c r="F47" s="14" t="str">
        <f t="shared" si="0"/>
        <v/>
      </c>
      <c r="H47" s="91"/>
    </row>
    <row r="48" spans="1:8" s="5" customFormat="1" ht="12" x14ac:dyDescent="0.15">
      <c r="A48" s="6">
        <v>44029</v>
      </c>
      <c r="B48" s="7" t="s">
        <v>8</v>
      </c>
      <c r="C48" s="8"/>
      <c r="D48" s="8"/>
      <c r="E48" s="9"/>
      <c r="F48" s="14" t="str">
        <f t="shared" si="0"/>
        <v/>
      </c>
      <c r="H48" s="91"/>
    </row>
    <row r="49" spans="1:8" s="5" customFormat="1" ht="12" x14ac:dyDescent="0.15">
      <c r="A49" s="11">
        <v>44030</v>
      </c>
      <c r="B49" s="7" t="s">
        <v>8</v>
      </c>
      <c r="C49" s="8"/>
      <c r="D49" s="8"/>
      <c r="E49" s="9"/>
      <c r="F49" s="14" t="str">
        <f t="shared" si="0"/>
        <v/>
      </c>
      <c r="H49" s="91"/>
    </row>
    <row r="50" spans="1:8" s="5" customFormat="1" ht="12" x14ac:dyDescent="0.15">
      <c r="A50" s="34">
        <v>44031</v>
      </c>
      <c r="B50" s="35" t="s">
        <v>8</v>
      </c>
      <c r="C50" s="28"/>
      <c r="D50" s="8"/>
      <c r="E50" s="9"/>
      <c r="F50" s="14" t="str">
        <f t="shared" si="0"/>
        <v/>
      </c>
      <c r="G50" s="29"/>
      <c r="H50" s="92"/>
    </row>
    <row r="51" spans="1:8" s="5" customFormat="1" ht="12" x14ac:dyDescent="0.15">
      <c r="A51" s="36">
        <v>44032</v>
      </c>
      <c r="B51" s="31" t="s">
        <v>8</v>
      </c>
      <c r="C51" s="32"/>
      <c r="D51" s="8"/>
      <c r="E51" s="9"/>
      <c r="F51" s="14" t="str">
        <f t="shared" si="0"/>
        <v/>
      </c>
      <c r="G51" s="33"/>
      <c r="H51" s="90">
        <f t="shared" si="4"/>
        <v>0</v>
      </c>
    </row>
    <row r="52" spans="1:8" s="5" customFormat="1" ht="12" x14ac:dyDescent="0.15">
      <c r="A52" s="6">
        <v>44033</v>
      </c>
      <c r="B52" s="7" t="s">
        <v>8</v>
      </c>
      <c r="C52" s="8"/>
      <c r="D52" s="8"/>
      <c r="E52" s="9"/>
      <c r="F52" s="14" t="str">
        <f t="shared" si="0"/>
        <v/>
      </c>
      <c r="H52" s="91"/>
    </row>
    <row r="53" spans="1:8" s="5" customFormat="1" ht="12" x14ac:dyDescent="0.15">
      <c r="A53" s="11">
        <v>44034</v>
      </c>
      <c r="B53" s="7" t="s">
        <v>8</v>
      </c>
      <c r="C53" s="8"/>
      <c r="D53" s="8"/>
      <c r="E53" s="9"/>
      <c r="F53" s="14" t="str">
        <f t="shared" si="0"/>
        <v/>
      </c>
      <c r="H53" s="91"/>
    </row>
    <row r="54" spans="1:8" s="5" customFormat="1" ht="12" x14ac:dyDescent="0.15">
      <c r="A54" s="6">
        <v>44035</v>
      </c>
      <c r="B54" s="7" t="s">
        <v>8</v>
      </c>
      <c r="C54" s="8"/>
      <c r="D54" s="8"/>
      <c r="E54" s="9"/>
      <c r="F54" s="14" t="str">
        <f t="shared" si="0"/>
        <v/>
      </c>
      <c r="H54" s="91"/>
    </row>
    <row r="55" spans="1:8" s="5" customFormat="1" ht="12" x14ac:dyDescent="0.15">
      <c r="A55" s="11">
        <v>44036</v>
      </c>
      <c r="B55" s="7" t="s">
        <v>8</v>
      </c>
      <c r="C55" s="8"/>
      <c r="D55" s="8"/>
      <c r="E55" s="9"/>
      <c r="F55" s="14" t="str">
        <f t="shared" si="0"/>
        <v/>
      </c>
      <c r="H55" s="91"/>
    </row>
    <row r="56" spans="1:8" s="5" customFormat="1" ht="12" x14ac:dyDescent="0.15">
      <c r="A56" s="6">
        <v>44037</v>
      </c>
      <c r="B56" s="7" t="s">
        <v>8</v>
      </c>
      <c r="C56" s="8"/>
      <c r="D56" s="8"/>
      <c r="E56" s="9"/>
      <c r="F56" s="14" t="str">
        <f t="shared" si="0"/>
        <v/>
      </c>
      <c r="H56" s="91"/>
    </row>
    <row r="57" spans="1:8" s="5" customFormat="1" ht="12" x14ac:dyDescent="0.15">
      <c r="A57" s="43">
        <v>44038</v>
      </c>
      <c r="B57" s="35" t="s">
        <v>8</v>
      </c>
      <c r="C57" s="28"/>
      <c r="D57" s="8"/>
      <c r="E57" s="9"/>
      <c r="F57" s="14" t="str">
        <f t="shared" si="0"/>
        <v/>
      </c>
      <c r="G57" s="29"/>
      <c r="H57" s="92"/>
    </row>
    <row r="58" spans="1:8" s="5" customFormat="1" ht="12" x14ac:dyDescent="0.15">
      <c r="A58" s="23">
        <v>44039</v>
      </c>
      <c r="B58" s="24" t="s">
        <v>8</v>
      </c>
      <c r="C58" s="8"/>
      <c r="D58" s="8"/>
      <c r="E58" s="9"/>
      <c r="F58" s="14" t="str">
        <f t="shared" si="0"/>
        <v/>
      </c>
      <c r="H58" s="91">
        <f t="shared" si="4"/>
        <v>0</v>
      </c>
    </row>
    <row r="59" spans="1:8" s="5" customFormat="1" ht="12" x14ac:dyDescent="0.15">
      <c r="A59" s="11">
        <v>44040</v>
      </c>
      <c r="B59" s="7" t="s">
        <v>8</v>
      </c>
      <c r="C59" s="8"/>
      <c r="D59" s="8"/>
      <c r="E59" s="9"/>
      <c r="F59" s="14" t="str">
        <f t="shared" si="0"/>
        <v/>
      </c>
      <c r="H59" s="91"/>
    </row>
    <row r="60" spans="1:8" s="5" customFormat="1" ht="12" x14ac:dyDescent="0.15">
      <c r="A60" s="6">
        <v>44041</v>
      </c>
      <c r="B60" s="7" t="s">
        <v>8</v>
      </c>
      <c r="C60" s="8"/>
      <c r="D60" s="8"/>
      <c r="E60" s="9"/>
      <c r="F60" s="14" t="str">
        <f t="shared" si="0"/>
        <v/>
      </c>
      <c r="H60" s="91"/>
    </row>
    <row r="61" spans="1:8" s="5" customFormat="1" ht="12" x14ac:dyDescent="0.15">
      <c r="A61" s="11">
        <v>44042</v>
      </c>
      <c r="B61" s="7" t="s">
        <v>8</v>
      </c>
      <c r="C61" s="8"/>
      <c r="D61" s="8"/>
      <c r="E61" s="9"/>
      <c r="F61" s="14" t="str">
        <f t="shared" si="0"/>
        <v/>
      </c>
      <c r="H61" s="91"/>
    </row>
    <row r="62" spans="1:8" s="5" customFormat="1" ht="12" x14ac:dyDescent="0.15">
      <c r="A62" s="6">
        <v>44043</v>
      </c>
      <c r="B62" s="7" t="s">
        <v>8</v>
      </c>
      <c r="C62" s="8"/>
      <c r="D62" s="8"/>
      <c r="E62" s="9"/>
      <c r="F62" s="14" t="str">
        <f t="shared" si="0"/>
        <v/>
      </c>
      <c r="H62" s="91"/>
    </row>
    <row r="63" spans="1:8" s="5" customFormat="1" ht="12" x14ac:dyDescent="0.15">
      <c r="A63" s="11">
        <v>44044</v>
      </c>
      <c r="B63" s="7" t="s">
        <v>8</v>
      </c>
      <c r="C63" s="8"/>
      <c r="D63" s="8"/>
      <c r="E63" s="9"/>
      <c r="F63" s="14" t="str">
        <f t="shared" si="0"/>
        <v/>
      </c>
      <c r="H63" s="91"/>
    </row>
    <row r="64" spans="1:8" s="5" customFormat="1" ht="12" x14ac:dyDescent="0.15">
      <c r="A64" s="6">
        <v>44045</v>
      </c>
      <c r="B64" s="7" t="s">
        <v>8</v>
      </c>
      <c r="C64" s="8"/>
      <c r="D64" s="8"/>
      <c r="E64" s="9"/>
      <c r="F64" s="14" t="str">
        <f t="shared" si="0"/>
        <v/>
      </c>
      <c r="H64" s="91"/>
    </row>
    <row r="65" spans="1:8" s="5" customFormat="1" ht="12" x14ac:dyDescent="0.15">
      <c r="A65" s="36">
        <v>44046</v>
      </c>
      <c r="B65" s="31" t="s">
        <v>9</v>
      </c>
      <c r="C65" s="32" t="s">
        <v>10</v>
      </c>
      <c r="D65" s="8" t="s">
        <v>11</v>
      </c>
      <c r="E65" s="9"/>
      <c r="F65" s="14">
        <f t="shared" si="0"/>
        <v>8.6666666666666679</v>
      </c>
      <c r="G65" s="33"/>
      <c r="H65" s="90">
        <f t="shared" ref="H65" si="5">SUM(F65:F71)</f>
        <v>34.666666666666671</v>
      </c>
    </row>
    <row r="66" spans="1:8" s="5" customFormat="1" ht="12" x14ac:dyDescent="0.15">
      <c r="A66" s="6">
        <v>44047</v>
      </c>
      <c r="B66" s="7" t="s">
        <v>9</v>
      </c>
      <c r="C66" s="8" t="s">
        <v>10</v>
      </c>
      <c r="D66" s="8" t="s">
        <v>11</v>
      </c>
      <c r="E66" s="9"/>
      <c r="F66" s="14">
        <f t="shared" si="0"/>
        <v>8.6666666666666679</v>
      </c>
      <c r="H66" s="91"/>
    </row>
    <row r="67" spans="1:8" s="5" customFormat="1" ht="12" x14ac:dyDescent="0.15">
      <c r="A67" s="11">
        <v>44048</v>
      </c>
      <c r="B67" s="7" t="s">
        <v>8</v>
      </c>
      <c r="C67" s="8"/>
      <c r="D67" s="8"/>
      <c r="E67" s="9"/>
      <c r="F67" s="14" t="str">
        <f t="shared" si="0"/>
        <v/>
      </c>
      <c r="H67" s="91"/>
    </row>
    <row r="68" spans="1:8" s="5" customFormat="1" ht="12" x14ac:dyDescent="0.15">
      <c r="A68" s="6">
        <v>44049</v>
      </c>
      <c r="B68" s="7" t="s">
        <v>9</v>
      </c>
      <c r="C68" s="8" t="s">
        <v>10</v>
      </c>
      <c r="D68" s="8" t="s">
        <v>11</v>
      </c>
      <c r="E68" s="9"/>
      <c r="F68" s="14">
        <f t="shared" si="0"/>
        <v>8.6666666666666679</v>
      </c>
      <c r="H68" s="91"/>
    </row>
    <row r="69" spans="1:8" s="5" customFormat="1" ht="12" x14ac:dyDescent="0.15">
      <c r="A69" s="11">
        <v>44050</v>
      </c>
      <c r="B69" s="7" t="s">
        <v>9</v>
      </c>
      <c r="C69" s="8" t="s">
        <v>10</v>
      </c>
      <c r="D69" s="8" t="s">
        <v>11</v>
      </c>
      <c r="E69" s="9"/>
      <c r="F69" s="14">
        <f t="shared" ref="F69:F132" si="6">IF(C69="", "", IF(D69="", "", (D69-C69)*24 - E69))</f>
        <v>8.6666666666666679</v>
      </c>
      <c r="H69" s="91"/>
    </row>
    <row r="70" spans="1:8" s="5" customFormat="1" ht="12" x14ac:dyDescent="0.15">
      <c r="A70" s="6">
        <v>44051</v>
      </c>
      <c r="B70" s="7" t="s">
        <v>8</v>
      </c>
      <c r="C70" s="8"/>
      <c r="D70" s="8"/>
      <c r="E70" s="9"/>
      <c r="F70" s="14" t="str">
        <f t="shared" si="6"/>
        <v/>
      </c>
      <c r="H70" s="91"/>
    </row>
    <row r="71" spans="1:8" s="5" customFormat="1" ht="12" x14ac:dyDescent="0.15">
      <c r="A71" s="43">
        <v>44052</v>
      </c>
      <c r="B71" s="35" t="s">
        <v>8</v>
      </c>
      <c r="C71" s="28"/>
      <c r="D71" s="8"/>
      <c r="E71" s="9"/>
      <c r="F71" s="14" t="str">
        <f t="shared" si="6"/>
        <v/>
      </c>
      <c r="G71" s="29"/>
      <c r="H71" s="92"/>
    </row>
    <row r="72" spans="1:8" s="5" customFormat="1" ht="12" x14ac:dyDescent="0.15">
      <c r="A72" s="30">
        <v>44053</v>
      </c>
      <c r="B72" s="31" t="s">
        <v>9</v>
      </c>
      <c r="C72" s="32" t="s">
        <v>10</v>
      </c>
      <c r="D72" s="8" t="s">
        <v>11</v>
      </c>
      <c r="E72" s="9"/>
      <c r="F72" s="14">
        <f t="shared" si="6"/>
        <v>8.6666666666666679</v>
      </c>
      <c r="G72" s="33"/>
      <c r="H72" s="90">
        <f t="shared" ref="H72:H93" si="7">SUM(F72:F78)</f>
        <v>34.666666666666671</v>
      </c>
    </row>
    <row r="73" spans="1:8" s="5" customFormat="1" ht="12" x14ac:dyDescent="0.15">
      <c r="A73" s="11">
        <v>44054</v>
      </c>
      <c r="B73" s="7" t="s">
        <v>9</v>
      </c>
      <c r="C73" s="8" t="s">
        <v>10</v>
      </c>
      <c r="D73" s="8" t="s">
        <v>11</v>
      </c>
      <c r="E73" s="9"/>
      <c r="F73" s="14">
        <f t="shared" si="6"/>
        <v>8.6666666666666679</v>
      </c>
      <c r="H73" s="91"/>
    </row>
    <row r="74" spans="1:8" s="5" customFormat="1" ht="12" x14ac:dyDescent="0.15">
      <c r="A74" s="6">
        <v>44055</v>
      </c>
      <c r="B74" s="7" t="s">
        <v>9</v>
      </c>
      <c r="C74" s="8" t="s">
        <v>10</v>
      </c>
      <c r="D74" s="8" t="s">
        <v>11</v>
      </c>
      <c r="E74" s="9"/>
      <c r="F74" s="14">
        <f t="shared" si="6"/>
        <v>8.6666666666666679</v>
      </c>
      <c r="H74" s="91"/>
    </row>
    <row r="75" spans="1:8" s="5" customFormat="1" ht="12" x14ac:dyDescent="0.15">
      <c r="A75" s="11">
        <v>44056</v>
      </c>
      <c r="B75" s="7" t="s">
        <v>9</v>
      </c>
      <c r="C75" s="8" t="s">
        <v>10</v>
      </c>
      <c r="D75" s="8" t="s">
        <v>11</v>
      </c>
      <c r="E75" s="9"/>
      <c r="F75" s="14">
        <f t="shared" si="6"/>
        <v>8.6666666666666679</v>
      </c>
      <c r="H75" s="91"/>
    </row>
    <row r="76" spans="1:8" s="5" customFormat="1" ht="12" x14ac:dyDescent="0.15">
      <c r="A76" s="6">
        <v>44057</v>
      </c>
      <c r="B76" s="7" t="s">
        <v>8</v>
      </c>
      <c r="C76" s="8"/>
      <c r="D76" s="8"/>
      <c r="E76" s="9"/>
      <c r="F76" s="14" t="str">
        <f t="shared" si="6"/>
        <v/>
      </c>
      <c r="H76" s="91"/>
    </row>
    <row r="77" spans="1:8" s="5" customFormat="1" ht="12" x14ac:dyDescent="0.15">
      <c r="A77" s="11">
        <v>44058</v>
      </c>
      <c r="B77" s="7" t="s">
        <v>8</v>
      </c>
      <c r="C77" s="8"/>
      <c r="D77" s="8"/>
      <c r="E77" s="9"/>
      <c r="F77" s="14" t="str">
        <f t="shared" si="6"/>
        <v/>
      </c>
      <c r="H77" s="91"/>
    </row>
    <row r="78" spans="1:8" s="5" customFormat="1" ht="12" x14ac:dyDescent="0.15">
      <c r="A78" s="34">
        <v>44059</v>
      </c>
      <c r="B78" s="35" t="s">
        <v>8</v>
      </c>
      <c r="C78" s="28"/>
      <c r="D78" s="8"/>
      <c r="E78" s="9"/>
      <c r="F78" s="14" t="str">
        <f t="shared" si="6"/>
        <v/>
      </c>
      <c r="G78" s="29"/>
      <c r="H78" s="92"/>
    </row>
    <row r="79" spans="1:8" s="5" customFormat="1" ht="12" x14ac:dyDescent="0.15">
      <c r="A79" s="36">
        <v>44060</v>
      </c>
      <c r="B79" s="31" t="s">
        <v>8</v>
      </c>
      <c r="C79" s="32"/>
      <c r="D79" s="8"/>
      <c r="E79" s="9"/>
      <c r="F79" s="14" t="str">
        <f t="shared" si="6"/>
        <v/>
      </c>
      <c r="G79" s="33"/>
      <c r="H79" s="90">
        <f t="shared" si="7"/>
        <v>34.666666666666671</v>
      </c>
    </row>
    <row r="80" spans="1:8" s="5" customFormat="1" ht="12" x14ac:dyDescent="0.15">
      <c r="A80" s="6">
        <v>44061</v>
      </c>
      <c r="B80" s="7" t="s">
        <v>9</v>
      </c>
      <c r="C80" s="8" t="s">
        <v>10</v>
      </c>
      <c r="D80" s="8" t="s">
        <v>11</v>
      </c>
      <c r="E80" s="9"/>
      <c r="F80" s="14">
        <f t="shared" si="6"/>
        <v>8.6666666666666679</v>
      </c>
      <c r="H80" s="91"/>
    </row>
    <row r="81" spans="1:8" s="5" customFormat="1" ht="12" x14ac:dyDescent="0.15">
      <c r="A81" s="11">
        <v>44062</v>
      </c>
      <c r="B81" s="7" t="s">
        <v>9</v>
      </c>
      <c r="C81" s="8" t="s">
        <v>10</v>
      </c>
      <c r="D81" s="8" t="s">
        <v>11</v>
      </c>
      <c r="E81" s="9"/>
      <c r="F81" s="14">
        <f t="shared" si="6"/>
        <v>8.6666666666666679</v>
      </c>
      <c r="H81" s="91"/>
    </row>
    <row r="82" spans="1:8" s="5" customFormat="1" ht="12" x14ac:dyDescent="0.15">
      <c r="A82" s="6">
        <v>44063</v>
      </c>
      <c r="B82" s="7" t="s">
        <v>9</v>
      </c>
      <c r="C82" s="8" t="s">
        <v>10</v>
      </c>
      <c r="D82" s="8" t="s">
        <v>11</v>
      </c>
      <c r="E82" s="9"/>
      <c r="F82" s="14">
        <f t="shared" si="6"/>
        <v>8.6666666666666679</v>
      </c>
      <c r="H82" s="91"/>
    </row>
    <row r="83" spans="1:8" s="5" customFormat="1" ht="12" x14ac:dyDescent="0.15">
      <c r="A83" s="11">
        <v>44064</v>
      </c>
      <c r="B83" s="7" t="s">
        <v>9</v>
      </c>
      <c r="C83" s="8" t="s">
        <v>10</v>
      </c>
      <c r="D83" s="8" t="s">
        <v>11</v>
      </c>
      <c r="E83" s="9"/>
      <c r="F83" s="14">
        <f t="shared" si="6"/>
        <v>8.6666666666666679</v>
      </c>
      <c r="H83" s="91"/>
    </row>
    <row r="84" spans="1:8" s="5" customFormat="1" ht="12" x14ac:dyDescent="0.15">
      <c r="A84" s="6">
        <v>44065</v>
      </c>
      <c r="B84" s="7" t="s">
        <v>8</v>
      </c>
      <c r="C84" s="8"/>
      <c r="D84" s="8"/>
      <c r="E84" s="9"/>
      <c r="F84" s="14" t="str">
        <f t="shared" si="6"/>
        <v/>
      </c>
      <c r="H84" s="91"/>
    </row>
    <row r="85" spans="1:8" s="5" customFormat="1" ht="12" x14ac:dyDescent="0.15">
      <c r="A85" s="43">
        <v>44066</v>
      </c>
      <c r="B85" s="35" t="s">
        <v>8</v>
      </c>
      <c r="C85" s="28"/>
      <c r="D85" s="8"/>
      <c r="E85" s="9"/>
      <c r="F85" s="14" t="str">
        <f t="shared" si="6"/>
        <v/>
      </c>
      <c r="G85" s="29"/>
      <c r="H85" s="92"/>
    </row>
    <row r="86" spans="1:8" s="5" customFormat="1" ht="12" x14ac:dyDescent="0.15">
      <c r="A86" s="30">
        <v>44067</v>
      </c>
      <c r="B86" s="31" t="s">
        <v>12</v>
      </c>
      <c r="C86" s="32" t="s">
        <v>10</v>
      </c>
      <c r="D86" s="8" t="s">
        <v>11</v>
      </c>
      <c r="E86" s="9"/>
      <c r="F86" s="14">
        <f t="shared" si="6"/>
        <v>8.6666666666666679</v>
      </c>
      <c r="G86" s="33"/>
      <c r="H86" s="90">
        <f t="shared" si="7"/>
        <v>26.000000000000004</v>
      </c>
    </row>
    <row r="87" spans="1:8" s="5" customFormat="1" ht="12" x14ac:dyDescent="0.15">
      <c r="A87" s="11">
        <v>44068</v>
      </c>
      <c r="B87" s="7" t="s">
        <v>12</v>
      </c>
      <c r="C87" s="8" t="s">
        <v>10</v>
      </c>
      <c r="D87" s="8" t="s">
        <v>11</v>
      </c>
      <c r="E87" s="9"/>
      <c r="F87" s="14">
        <f t="shared" si="6"/>
        <v>8.6666666666666679</v>
      </c>
      <c r="H87" s="91"/>
    </row>
    <row r="88" spans="1:8" s="5" customFormat="1" ht="12" x14ac:dyDescent="0.15">
      <c r="A88" s="6">
        <v>44069</v>
      </c>
      <c r="B88" s="7" t="s">
        <v>9</v>
      </c>
      <c r="C88" s="8" t="s">
        <v>10</v>
      </c>
      <c r="D88" s="8" t="s">
        <v>11</v>
      </c>
      <c r="E88" s="9"/>
      <c r="F88" s="14">
        <f t="shared" si="6"/>
        <v>8.6666666666666679</v>
      </c>
      <c r="H88" s="91"/>
    </row>
    <row r="89" spans="1:8" s="5" customFormat="1" ht="12" x14ac:dyDescent="0.15">
      <c r="A89" s="11">
        <v>44070</v>
      </c>
      <c r="B89" s="7" t="s">
        <v>8</v>
      </c>
      <c r="C89" s="8"/>
      <c r="D89" s="8"/>
      <c r="E89" s="9"/>
      <c r="F89" s="14" t="str">
        <f t="shared" si="6"/>
        <v/>
      </c>
      <c r="H89" s="91"/>
    </row>
    <row r="90" spans="1:8" s="5" customFormat="1" ht="12" x14ac:dyDescent="0.15">
      <c r="A90" s="6">
        <v>44071</v>
      </c>
      <c r="B90" s="7" t="s">
        <v>8</v>
      </c>
      <c r="C90" s="8"/>
      <c r="D90" s="8"/>
      <c r="E90" s="9"/>
      <c r="F90" s="14" t="str">
        <f t="shared" si="6"/>
        <v/>
      </c>
      <c r="H90" s="91"/>
    </row>
    <row r="91" spans="1:8" s="5" customFormat="1" ht="12" x14ac:dyDescent="0.15">
      <c r="A91" s="11">
        <v>44072</v>
      </c>
      <c r="B91" s="7" t="s">
        <v>8</v>
      </c>
      <c r="C91" s="8"/>
      <c r="D91" s="8"/>
      <c r="E91" s="9"/>
      <c r="F91" s="14" t="str">
        <f t="shared" si="6"/>
        <v/>
      </c>
      <c r="H91" s="91"/>
    </row>
    <row r="92" spans="1:8" s="5" customFormat="1" ht="12" x14ac:dyDescent="0.15">
      <c r="A92" s="34">
        <v>44073</v>
      </c>
      <c r="B92" s="35" t="s">
        <v>8</v>
      </c>
      <c r="C92" s="28"/>
      <c r="D92" s="8"/>
      <c r="E92" s="9"/>
      <c r="F92" s="14" t="str">
        <f t="shared" si="6"/>
        <v/>
      </c>
      <c r="G92" s="29"/>
      <c r="H92" s="92"/>
    </row>
    <row r="93" spans="1:8" s="5" customFormat="1" ht="12" x14ac:dyDescent="0.15">
      <c r="A93" s="36">
        <v>44074</v>
      </c>
      <c r="B93" s="31" t="s">
        <v>12</v>
      </c>
      <c r="C93" s="32" t="s">
        <v>10</v>
      </c>
      <c r="D93" s="8" t="s">
        <v>11</v>
      </c>
      <c r="E93" s="9"/>
      <c r="F93" s="14">
        <f t="shared" si="6"/>
        <v>8.6666666666666679</v>
      </c>
      <c r="G93" s="33"/>
      <c r="H93" s="90">
        <f t="shared" si="7"/>
        <v>34.666666666666671</v>
      </c>
    </row>
    <row r="94" spans="1:8" s="5" customFormat="1" ht="12" x14ac:dyDescent="0.15">
      <c r="A94" s="6">
        <v>44075</v>
      </c>
      <c r="B94" s="7" t="s">
        <v>8</v>
      </c>
      <c r="C94" s="8"/>
      <c r="D94" s="8"/>
      <c r="E94" s="9"/>
      <c r="F94" s="14" t="str">
        <f t="shared" si="6"/>
        <v/>
      </c>
      <c r="H94" s="91"/>
    </row>
    <row r="95" spans="1:8" s="5" customFormat="1" ht="12" x14ac:dyDescent="0.15">
      <c r="A95" s="11">
        <v>44076</v>
      </c>
      <c r="B95" s="7" t="s">
        <v>9</v>
      </c>
      <c r="C95" s="8" t="s">
        <v>10</v>
      </c>
      <c r="D95" s="8" t="s">
        <v>11</v>
      </c>
      <c r="E95" s="9"/>
      <c r="F95" s="14">
        <f t="shared" si="6"/>
        <v>8.6666666666666679</v>
      </c>
      <c r="H95" s="91"/>
    </row>
    <row r="96" spans="1:8" s="5" customFormat="1" ht="12" x14ac:dyDescent="0.15">
      <c r="A96" s="6">
        <v>44077</v>
      </c>
      <c r="B96" s="7" t="s">
        <v>9</v>
      </c>
      <c r="C96" s="8" t="s">
        <v>10</v>
      </c>
      <c r="D96" s="8" t="s">
        <v>11</v>
      </c>
      <c r="E96" s="9"/>
      <c r="F96" s="14">
        <f t="shared" si="6"/>
        <v>8.6666666666666679</v>
      </c>
      <c r="H96" s="91"/>
    </row>
    <row r="97" spans="1:8" s="5" customFormat="1" ht="12" x14ac:dyDescent="0.15">
      <c r="A97" s="11">
        <v>44078</v>
      </c>
      <c r="B97" s="7" t="s">
        <v>9</v>
      </c>
      <c r="C97" s="8" t="s">
        <v>10</v>
      </c>
      <c r="D97" s="8" t="s">
        <v>11</v>
      </c>
      <c r="E97" s="9"/>
      <c r="F97" s="14">
        <f t="shared" si="6"/>
        <v>8.6666666666666679</v>
      </c>
      <c r="H97" s="91"/>
    </row>
    <row r="98" spans="1:8" s="5" customFormat="1" ht="12" x14ac:dyDescent="0.15">
      <c r="A98" s="6">
        <v>44079</v>
      </c>
      <c r="B98" s="7" t="s">
        <v>8</v>
      </c>
      <c r="C98" s="8"/>
      <c r="D98" s="8"/>
      <c r="E98" s="9"/>
      <c r="F98" s="14" t="str">
        <f t="shared" si="6"/>
        <v/>
      </c>
      <c r="H98" s="91"/>
    </row>
    <row r="99" spans="1:8" s="5" customFormat="1" ht="12" x14ac:dyDescent="0.15">
      <c r="A99" s="43">
        <v>44080</v>
      </c>
      <c r="B99" s="35" t="s">
        <v>8</v>
      </c>
      <c r="C99" s="28"/>
      <c r="D99" s="8"/>
      <c r="E99" s="9"/>
      <c r="F99" s="14" t="str">
        <f t="shared" si="6"/>
        <v/>
      </c>
      <c r="G99" s="29"/>
      <c r="H99" s="92"/>
    </row>
    <row r="100" spans="1:8" s="5" customFormat="1" ht="12" x14ac:dyDescent="0.15">
      <c r="A100" s="30">
        <v>44081</v>
      </c>
      <c r="B100" s="31" t="s">
        <v>9</v>
      </c>
      <c r="C100" s="32" t="s">
        <v>10</v>
      </c>
      <c r="D100" s="8" t="s">
        <v>11</v>
      </c>
      <c r="E100" s="9"/>
      <c r="F100" s="14">
        <f t="shared" si="6"/>
        <v>8.6666666666666679</v>
      </c>
      <c r="G100" s="33"/>
      <c r="H100" s="90">
        <f t="shared" ref="H100" si="8">SUM(F100:F106)</f>
        <v>43.333333333333343</v>
      </c>
    </row>
    <row r="101" spans="1:8" s="5" customFormat="1" ht="12" x14ac:dyDescent="0.15">
      <c r="A101" s="11">
        <v>44082</v>
      </c>
      <c r="B101" s="7" t="s">
        <v>9</v>
      </c>
      <c r="C101" s="8" t="s">
        <v>10</v>
      </c>
      <c r="D101" s="8" t="s">
        <v>11</v>
      </c>
      <c r="E101" s="9"/>
      <c r="F101" s="14">
        <f t="shared" si="6"/>
        <v>8.6666666666666679</v>
      </c>
      <c r="H101" s="91"/>
    </row>
    <row r="102" spans="1:8" s="5" customFormat="1" ht="12" x14ac:dyDescent="0.15">
      <c r="A102" s="6">
        <v>44083</v>
      </c>
      <c r="B102" s="7" t="s">
        <v>9</v>
      </c>
      <c r="C102" s="8" t="s">
        <v>10</v>
      </c>
      <c r="D102" s="8" t="s">
        <v>11</v>
      </c>
      <c r="E102" s="9"/>
      <c r="F102" s="14">
        <f t="shared" si="6"/>
        <v>8.6666666666666679</v>
      </c>
      <c r="H102" s="91"/>
    </row>
    <row r="103" spans="1:8" s="5" customFormat="1" ht="12" x14ac:dyDescent="0.15">
      <c r="A103" s="11">
        <v>44084</v>
      </c>
      <c r="B103" s="7" t="s">
        <v>9</v>
      </c>
      <c r="C103" s="8" t="s">
        <v>10</v>
      </c>
      <c r="D103" s="8" t="s">
        <v>11</v>
      </c>
      <c r="E103" s="9"/>
      <c r="F103" s="14">
        <f t="shared" si="6"/>
        <v>8.6666666666666679</v>
      </c>
      <c r="H103" s="91"/>
    </row>
    <row r="104" spans="1:8" s="5" customFormat="1" ht="12" x14ac:dyDescent="0.15">
      <c r="A104" s="6">
        <v>44085</v>
      </c>
      <c r="B104" s="7" t="s">
        <v>9</v>
      </c>
      <c r="C104" s="8" t="s">
        <v>10</v>
      </c>
      <c r="D104" s="8" t="s">
        <v>11</v>
      </c>
      <c r="E104" s="9"/>
      <c r="F104" s="14">
        <f t="shared" si="6"/>
        <v>8.6666666666666679</v>
      </c>
      <c r="H104" s="91"/>
    </row>
    <row r="105" spans="1:8" s="5" customFormat="1" ht="12" x14ac:dyDescent="0.15">
      <c r="A105" s="11">
        <v>44086</v>
      </c>
      <c r="B105" s="7" t="s">
        <v>8</v>
      </c>
      <c r="C105" s="8"/>
      <c r="D105" s="8"/>
      <c r="E105" s="9"/>
      <c r="F105" s="14" t="str">
        <f t="shared" si="6"/>
        <v/>
      </c>
      <c r="H105" s="91"/>
    </row>
    <row r="106" spans="1:8" s="5" customFormat="1" ht="12" x14ac:dyDescent="0.15">
      <c r="A106" s="34">
        <v>44087</v>
      </c>
      <c r="B106" s="35" t="s">
        <v>8</v>
      </c>
      <c r="C106" s="28"/>
      <c r="D106" s="8"/>
      <c r="E106" s="9"/>
      <c r="F106" s="14" t="str">
        <f t="shared" si="6"/>
        <v/>
      </c>
      <c r="G106" s="29"/>
      <c r="H106" s="92"/>
    </row>
    <row r="107" spans="1:8" s="5" customFormat="1" ht="12" x14ac:dyDescent="0.15">
      <c r="A107" s="36">
        <v>44088</v>
      </c>
      <c r="B107" s="31" t="s">
        <v>8</v>
      </c>
      <c r="C107" s="32"/>
      <c r="D107" s="8"/>
      <c r="E107" s="9"/>
      <c r="F107" s="14" t="str">
        <f t="shared" si="6"/>
        <v/>
      </c>
      <c r="G107" s="33"/>
      <c r="H107" s="90">
        <f t="shared" ref="H107:H121" si="9">SUM(F107:F113)</f>
        <v>34.666666666666671</v>
      </c>
    </row>
    <row r="108" spans="1:8" s="5" customFormat="1" ht="12" x14ac:dyDescent="0.15">
      <c r="A108" s="6">
        <v>44089</v>
      </c>
      <c r="B108" s="7" t="s">
        <v>9</v>
      </c>
      <c r="C108" s="8" t="s">
        <v>10</v>
      </c>
      <c r="D108" s="8" t="s">
        <v>11</v>
      </c>
      <c r="E108" s="9"/>
      <c r="F108" s="14">
        <f t="shared" si="6"/>
        <v>8.6666666666666679</v>
      </c>
      <c r="H108" s="91"/>
    </row>
    <row r="109" spans="1:8" s="5" customFormat="1" ht="12" x14ac:dyDescent="0.15">
      <c r="A109" s="11">
        <v>44090</v>
      </c>
      <c r="B109" s="7" t="s">
        <v>9</v>
      </c>
      <c r="C109" s="8" t="s">
        <v>10</v>
      </c>
      <c r="D109" s="8" t="s">
        <v>11</v>
      </c>
      <c r="E109" s="9"/>
      <c r="F109" s="14">
        <f t="shared" si="6"/>
        <v>8.6666666666666679</v>
      </c>
      <c r="H109" s="91"/>
    </row>
    <row r="110" spans="1:8" s="5" customFormat="1" ht="12" x14ac:dyDescent="0.15">
      <c r="A110" s="6">
        <v>44091</v>
      </c>
      <c r="B110" s="7" t="s">
        <v>9</v>
      </c>
      <c r="C110" s="8" t="s">
        <v>10</v>
      </c>
      <c r="D110" s="8" t="s">
        <v>11</v>
      </c>
      <c r="E110" s="9"/>
      <c r="F110" s="14">
        <f t="shared" si="6"/>
        <v>8.6666666666666679</v>
      </c>
      <c r="H110" s="91"/>
    </row>
    <row r="111" spans="1:8" s="5" customFormat="1" ht="12" x14ac:dyDescent="0.15">
      <c r="A111" s="11">
        <v>44092</v>
      </c>
      <c r="B111" s="7" t="s">
        <v>9</v>
      </c>
      <c r="C111" s="8" t="s">
        <v>10</v>
      </c>
      <c r="D111" s="8" t="s">
        <v>11</v>
      </c>
      <c r="E111" s="9"/>
      <c r="F111" s="14">
        <f t="shared" si="6"/>
        <v>8.6666666666666679</v>
      </c>
      <c r="H111" s="91"/>
    </row>
    <row r="112" spans="1:8" s="5" customFormat="1" ht="12" x14ac:dyDescent="0.15">
      <c r="A112" s="6">
        <v>44093</v>
      </c>
      <c r="B112" s="7" t="s">
        <v>8</v>
      </c>
      <c r="C112" s="8"/>
      <c r="D112" s="8"/>
      <c r="E112" s="9"/>
      <c r="F112" s="14" t="str">
        <f t="shared" si="6"/>
        <v/>
      </c>
      <c r="H112" s="91"/>
    </row>
    <row r="113" spans="1:8" s="5" customFormat="1" ht="12" x14ac:dyDescent="0.15">
      <c r="A113" s="43">
        <v>44094</v>
      </c>
      <c r="B113" s="35" t="s">
        <v>8</v>
      </c>
      <c r="C113" s="28"/>
      <c r="D113" s="8"/>
      <c r="E113" s="9"/>
      <c r="F113" s="14" t="str">
        <f t="shared" si="6"/>
        <v/>
      </c>
      <c r="G113" s="29"/>
      <c r="H113" s="92"/>
    </row>
    <row r="114" spans="1:8" s="5" customFormat="1" ht="12" x14ac:dyDescent="0.15">
      <c r="A114" s="23">
        <v>44095</v>
      </c>
      <c r="B114" s="24" t="s">
        <v>12</v>
      </c>
      <c r="C114" s="8" t="s">
        <v>10</v>
      </c>
      <c r="D114" s="8" t="s">
        <v>11</v>
      </c>
      <c r="E114" s="9"/>
      <c r="F114" s="14">
        <f t="shared" si="6"/>
        <v>8.6666666666666679</v>
      </c>
      <c r="H114" s="91">
        <f t="shared" si="9"/>
        <v>43.333333333333343</v>
      </c>
    </row>
    <row r="115" spans="1:8" s="5" customFormat="1" ht="12" x14ac:dyDescent="0.15">
      <c r="A115" s="11">
        <v>44096</v>
      </c>
      <c r="B115" s="7" t="s">
        <v>12</v>
      </c>
      <c r="C115" s="8" t="s">
        <v>10</v>
      </c>
      <c r="D115" s="8" t="s">
        <v>11</v>
      </c>
      <c r="E115" s="9"/>
      <c r="F115" s="14">
        <f t="shared" si="6"/>
        <v>8.6666666666666679</v>
      </c>
      <c r="H115" s="91"/>
    </row>
    <row r="116" spans="1:8" s="5" customFormat="1" ht="12" x14ac:dyDescent="0.15">
      <c r="A116" s="6">
        <v>44097</v>
      </c>
      <c r="B116" s="7" t="s">
        <v>9</v>
      </c>
      <c r="C116" s="8" t="s">
        <v>10</v>
      </c>
      <c r="D116" s="8" t="s">
        <v>11</v>
      </c>
      <c r="E116" s="9"/>
      <c r="F116" s="14">
        <f t="shared" si="6"/>
        <v>8.6666666666666679</v>
      </c>
      <c r="H116" s="91"/>
    </row>
    <row r="117" spans="1:8" s="5" customFormat="1" ht="12" x14ac:dyDescent="0.15">
      <c r="A117" s="11">
        <v>44098</v>
      </c>
      <c r="B117" s="7" t="s">
        <v>9</v>
      </c>
      <c r="C117" s="8" t="s">
        <v>10</v>
      </c>
      <c r="D117" s="8" t="s">
        <v>11</v>
      </c>
      <c r="E117" s="9"/>
      <c r="F117" s="14">
        <f t="shared" si="6"/>
        <v>8.6666666666666679</v>
      </c>
      <c r="H117" s="91"/>
    </row>
    <row r="118" spans="1:8" s="5" customFormat="1" ht="12" x14ac:dyDescent="0.15">
      <c r="A118" s="6">
        <v>44099</v>
      </c>
      <c r="B118" s="7" t="s">
        <v>9</v>
      </c>
      <c r="C118" s="8" t="s">
        <v>10</v>
      </c>
      <c r="D118" s="8" t="s">
        <v>11</v>
      </c>
      <c r="E118" s="9"/>
      <c r="F118" s="14">
        <f t="shared" si="6"/>
        <v>8.6666666666666679</v>
      </c>
      <c r="H118" s="91"/>
    </row>
    <row r="119" spans="1:8" s="5" customFormat="1" ht="12" x14ac:dyDescent="0.15">
      <c r="A119" s="11">
        <v>44100</v>
      </c>
      <c r="B119" s="7" t="s">
        <v>8</v>
      </c>
      <c r="C119" s="8"/>
      <c r="D119" s="8"/>
      <c r="E119" s="9"/>
      <c r="F119" s="14" t="str">
        <f t="shared" si="6"/>
        <v/>
      </c>
      <c r="H119" s="91"/>
    </row>
    <row r="120" spans="1:8" s="5" customFormat="1" ht="12" x14ac:dyDescent="0.15">
      <c r="A120" s="6">
        <v>44101</v>
      </c>
      <c r="B120" s="7" t="s">
        <v>8</v>
      </c>
      <c r="C120" s="8"/>
      <c r="D120" s="8"/>
      <c r="E120" s="9"/>
      <c r="F120" s="14" t="str">
        <f t="shared" si="6"/>
        <v/>
      </c>
      <c r="H120" s="91"/>
    </row>
    <row r="121" spans="1:8" s="5" customFormat="1" ht="12" x14ac:dyDescent="0.15">
      <c r="A121" s="36">
        <v>44102</v>
      </c>
      <c r="B121" s="31" t="s">
        <v>8</v>
      </c>
      <c r="C121" s="32"/>
      <c r="D121" s="8"/>
      <c r="E121" s="9"/>
      <c r="F121" s="14" t="str">
        <f t="shared" si="6"/>
        <v/>
      </c>
      <c r="G121" s="33"/>
      <c r="H121" s="90">
        <f t="shared" si="9"/>
        <v>17.333333333333336</v>
      </c>
    </row>
    <row r="122" spans="1:8" s="5" customFormat="1" ht="12" x14ac:dyDescent="0.15">
      <c r="A122" s="6">
        <v>44103</v>
      </c>
      <c r="B122" s="7" t="s">
        <v>12</v>
      </c>
      <c r="C122" s="8" t="s">
        <v>10</v>
      </c>
      <c r="D122" s="8" t="s">
        <v>11</v>
      </c>
      <c r="E122" s="9"/>
      <c r="F122" s="14">
        <f t="shared" si="6"/>
        <v>8.6666666666666679</v>
      </c>
      <c r="H122" s="91"/>
    </row>
    <row r="123" spans="1:8" s="5" customFormat="1" ht="12" x14ac:dyDescent="0.15">
      <c r="A123" s="11">
        <v>44104</v>
      </c>
      <c r="B123" s="7" t="s">
        <v>12</v>
      </c>
      <c r="C123" s="8" t="s">
        <v>10</v>
      </c>
      <c r="D123" s="8" t="s">
        <v>11</v>
      </c>
      <c r="E123" s="9"/>
      <c r="F123" s="14">
        <f t="shared" si="6"/>
        <v>8.6666666666666679</v>
      </c>
      <c r="H123" s="91"/>
    </row>
    <row r="124" spans="1:8" s="5" customFormat="1" ht="12" x14ac:dyDescent="0.15">
      <c r="A124" s="6">
        <v>44105</v>
      </c>
      <c r="B124" s="7" t="s">
        <v>8</v>
      </c>
      <c r="C124" s="8"/>
      <c r="D124" s="8"/>
      <c r="E124" s="9"/>
      <c r="F124" s="14" t="str">
        <f t="shared" si="6"/>
        <v/>
      </c>
      <c r="H124" s="91"/>
    </row>
    <row r="125" spans="1:8" s="5" customFormat="1" ht="12" x14ac:dyDescent="0.15">
      <c r="A125" s="11">
        <v>44106</v>
      </c>
      <c r="B125" s="7" t="s">
        <v>8</v>
      </c>
      <c r="C125" s="8"/>
      <c r="D125" s="8"/>
      <c r="E125" s="9"/>
      <c r="F125" s="14" t="str">
        <f t="shared" si="6"/>
        <v/>
      </c>
      <c r="H125" s="91"/>
    </row>
    <row r="126" spans="1:8" s="5" customFormat="1" ht="12" x14ac:dyDescent="0.15">
      <c r="A126" s="6">
        <v>44107</v>
      </c>
      <c r="B126" s="7" t="s">
        <v>8</v>
      </c>
      <c r="C126" s="8"/>
      <c r="D126" s="8"/>
      <c r="E126" s="9"/>
      <c r="F126" s="14" t="str">
        <f t="shared" si="6"/>
        <v/>
      </c>
      <c r="H126" s="91"/>
    </row>
    <row r="127" spans="1:8" s="5" customFormat="1" ht="12" x14ac:dyDescent="0.15">
      <c r="A127" s="43">
        <v>44108</v>
      </c>
      <c r="B127" s="35" t="s">
        <v>8</v>
      </c>
      <c r="C127" s="28"/>
      <c r="D127" s="8"/>
      <c r="E127" s="9"/>
      <c r="F127" s="14" t="str">
        <f t="shared" si="6"/>
        <v/>
      </c>
      <c r="G127" s="29"/>
      <c r="H127" s="92"/>
    </row>
    <row r="128" spans="1:8" s="5" customFormat="1" ht="12" x14ac:dyDescent="0.15">
      <c r="A128" s="30">
        <v>44109</v>
      </c>
      <c r="B128" s="31" t="s">
        <v>8</v>
      </c>
      <c r="C128" s="32"/>
      <c r="D128" s="8"/>
      <c r="E128" s="9"/>
      <c r="F128" s="14" t="str">
        <f t="shared" si="6"/>
        <v/>
      </c>
      <c r="G128" s="33"/>
      <c r="H128" s="90">
        <f t="shared" ref="H128:H191" si="10">SUM(F128:F134)</f>
        <v>34.666666666666671</v>
      </c>
    </row>
    <row r="129" spans="1:8" s="5" customFormat="1" ht="12" x14ac:dyDescent="0.15">
      <c r="A129" s="11">
        <v>44110</v>
      </c>
      <c r="B129" s="7" t="s">
        <v>9</v>
      </c>
      <c r="C129" s="8" t="s">
        <v>10</v>
      </c>
      <c r="D129" s="8" t="s">
        <v>11</v>
      </c>
      <c r="E129" s="9"/>
      <c r="F129" s="14">
        <f t="shared" si="6"/>
        <v>8.6666666666666679</v>
      </c>
      <c r="H129" s="91"/>
    </row>
    <row r="130" spans="1:8" s="5" customFormat="1" ht="12" x14ac:dyDescent="0.15">
      <c r="A130" s="6">
        <v>44111</v>
      </c>
      <c r="B130" s="7" t="s">
        <v>12</v>
      </c>
      <c r="C130" s="8" t="s">
        <v>10</v>
      </c>
      <c r="D130" s="8" t="s">
        <v>11</v>
      </c>
      <c r="E130" s="9"/>
      <c r="F130" s="14">
        <f t="shared" si="6"/>
        <v>8.6666666666666679</v>
      </c>
      <c r="H130" s="91"/>
    </row>
    <row r="131" spans="1:8" s="5" customFormat="1" ht="12" x14ac:dyDescent="0.15">
      <c r="A131" s="11">
        <v>44112</v>
      </c>
      <c r="B131" s="7" t="s">
        <v>12</v>
      </c>
      <c r="C131" s="8" t="s">
        <v>10</v>
      </c>
      <c r="D131" s="8" t="s">
        <v>11</v>
      </c>
      <c r="E131" s="9"/>
      <c r="F131" s="14">
        <f t="shared" si="6"/>
        <v>8.6666666666666679</v>
      </c>
      <c r="H131" s="91"/>
    </row>
    <row r="132" spans="1:8" s="5" customFormat="1" ht="12" x14ac:dyDescent="0.15">
      <c r="A132" s="6">
        <v>44113</v>
      </c>
      <c r="B132" s="7" t="s">
        <v>9</v>
      </c>
      <c r="C132" s="8" t="s">
        <v>10</v>
      </c>
      <c r="D132" s="8" t="s">
        <v>11</v>
      </c>
      <c r="E132" s="9"/>
      <c r="F132" s="14">
        <f t="shared" si="6"/>
        <v>8.6666666666666679</v>
      </c>
      <c r="H132" s="91"/>
    </row>
    <row r="133" spans="1:8" s="5" customFormat="1" ht="12" x14ac:dyDescent="0.15">
      <c r="A133" s="11">
        <v>44114</v>
      </c>
      <c r="B133" s="7" t="s">
        <v>8</v>
      </c>
      <c r="C133" s="8"/>
      <c r="D133" s="8"/>
      <c r="E133" s="9"/>
      <c r="F133" s="14" t="str">
        <f t="shared" ref="F133:F196" si="11">IF(C133="", "", IF(D133="", "", (D133-C133)*24 - E133))</f>
        <v/>
      </c>
      <c r="H133" s="91"/>
    </row>
    <row r="134" spans="1:8" s="5" customFormat="1" ht="12" x14ac:dyDescent="0.15">
      <c r="A134" s="34">
        <v>44115</v>
      </c>
      <c r="B134" s="35" t="s">
        <v>8</v>
      </c>
      <c r="C134" s="28"/>
      <c r="D134" s="8"/>
      <c r="E134" s="9"/>
      <c r="F134" s="14" t="str">
        <f t="shared" si="11"/>
        <v/>
      </c>
      <c r="G134" s="29"/>
      <c r="H134" s="92"/>
    </row>
    <row r="135" spans="1:8" s="5" customFormat="1" ht="12" x14ac:dyDescent="0.15">
      <c r="A135" s="36">
        <v>44116</v>
      </c>
      <c r="B135" s="31" t="s">
        <v>8</v>
      </c>
      <c r="C135" s="32"/>
      <c r="D135" s="8"/>
      <c r="E135" s="9"/>
      <c r="F135" s="14" t="str">
        <f t="shared" si="11"/>
        <v/>
      </c>
      <c r="G135" s="33"/>
      <c r="H135" s="90">
        <f t="shared" ref="H135:H198" si="12">SUM(F135:F141)</f>
        <v>34.666666666666671</v>
      </c>
    </row>
    <row r="136" spans="1:8" s="5" customFormat="1" ht="12" x14ac:dyDescent="0.15">
      <c r="A136" s="6">
        <v>44117</v>
      </c>
      <c r="B136" s="7" t="s">
        <v>9</v>
      </c>
      <c r="C136" s="8" t="s">
        <v>10</v>
      </c>
      <c r="D136" s="8" t="s">
        <v>11</v>
      </c>
      <c r="E136" s="9"/>
      <c r="F136" s="14">
        <f t="shared" si="11"/>
        <v>8.6666666666666679</v>
      </c>
      <c r="H136" s="91"/>
    </row>
    <row r="137" spans="1:8" s="5" customFormat="1" ht="12" x14ac:dyDescent="0.15">
      <c r="A137" s="11">
        <v>44118</v>
      </c>
      <c r="B137" s="7" t="s">
        <v>12</v>
      </c>
      <c r="C137" s="8" t="s">
        <v>10</v>
      </c>
      <c r="D137" s="8" t="s">
        <v>11</v>
      </c>
      <c r="E137" s="9"/>
      <c r="F137" s="14">
        <f t="shared" si="11"/>
        <v>8.6666666666666679</v>
      </c>
      <c r="H137" s="91"/>
    </row>
    <row r="138" spans="1:8" s="5" customFormat="1" ht="12" x14ac:dyDescent="0.15">
      <c r="A138" s="6">
        <v>44119</v>
      </c>
      <c r="B138" s="7" t="s">
        <v>12</v>
      </c>
      <c r="C138" s="8" t="s">
        <v>10</v>
      </c>
      <c r="D138" s="8" t="s">
        <v>11</v>
      </c>
      <c r="E138" s="9"/>
      <c r="F138" s="14">
        <f t="shared" si="11"/>
        <v>8.6666666666666679</v>
      </c>
      <c r="H138" s="91"/>
    </row>
    <row r="139" spans="1:8" s="5" customFormat="1" ht="12" x14ac:dyDescent="0.15">
      <c r="A139" s="11">
        <v>44120</v>
      </c>
      <c r="B139" s="7" t="s">
        <v>9</v>
      </c>
      <c r="C139" s="8" t="s">
        <v>10</v>
      </c>
      <c r="D139" s="8" t="s">
        <v>11</v>
      </c>
      <c r="E139" s="9"/>
      <c r="F139" s="14">
        <f t="shared" si="11"/>
        <v>8.6666666666666679</v>
      </c>
      <c r="H139" s="91"/>
    </row>
    <row r="140" spans="1:8" s="5" customFormat="1" ht="12" x14ac:dyDescent="0.15">
      <c r="A140" s="6">
        <v>44121</v>
      </c>
      <c r="B140" s="7" t="s">
        <v>8</v>
      </c>
      <c r="C140" s="8"/>
      <c r="D140" s="8"/>
      <c r="E140" s="9"/>
      <c r="F140" s="14" t="str">
        <f t="shared" si="11"/>
        <v/>
      </c>
      <c r="H140" s="91"/>
    </row>
    <row r="141" spans="1:8" s="5" customFormat="1" ht="12" x14ac:dyDescent="0.15">
      <c r="A141" s="43">
        <v>44122</v>
      </c>
      <c r="B141" s="35" t="s">
        <v>8</v>
      </c>
      <c r="C141" s="28"/>
      <c r="D141" s="8"/>
      <c r="E141" s="9"/>
      <c r="F141" s="14" t="str">
        <f t="shared" si="11"/>
        <v/>
      </c>
      <c r="G141" s="29"/>
      <c r="H141" s="92"/>
    </row>
    <row r="142" spans="1:8" s="5" customFormat="1" ht="12" x14ac:dyDescent="0.15">
      <c r="A142" s="23">
        <v>44123</v>
      </c>
      <c r="B142" s="24" t="s">
        <v>9</v>
      </c>
      <c r="C142" s="8" t="s">
        <v>10</v>
      </c>
      <c r="D142" s="8" t="s">
        <v>11</v>
      </c>
      <c r="E142" s="9"/>
      <c r="F142" s="14">
        <f t="shared" si="11"/>
        <v>8.6666666666666679</v>
      </c>
      <c r="H142" s="91">
        <f t="shared" si="12"/>
        <v>43.333333333333343</v>
      </c>
    </row>
    <row r="143" spans="1:8" s="5" customFormat="1" ht="12" x14ac:dyDescent="0.15">
      <c r="A143" s="11">
        <v>44124</v>
      </c>
      <c r="B143" s="7" t="s">
        <v>9</v>
      </c>
      <c r="C143" s="8" t="s">
        <v>10</v>
      </c>
      <c r="D143" s="8" t="s">
        <v>11</v>
      </c>
      <c r="E143" s="9"/>
      <c r="F143" s="14">
        <f t="shared" si="11"/>
        <v>8.6666666666666679</v>
      </c>
      <c r="H143" s="91"/>
    </row>
    <row r="144" spans="1:8" s="5" customFormat="1" ht="12" x14ac:dyDescent="0.15">
      <c r="A144" s="6">
        <v>44125</v>
      </c>
      <c r="B144" s="7" t="s">
        <v>9</v>
      </c>
      <c r="C144" s="8" t="s">
        <v>10</v>
      </c>
      <c r="D144" s="8" t="s">
        <v>11</v>
      </c>
      <c r="E144" s="9"/>
      <c r="F144" s="14">
        <f t="shared" si="11"/>
        <v>8.6666666666666679</v>
      </c>
      <c r="H144" s="91"/>
    </row>
    <row r="145" spans="1:8" s="5" customFormat="1" ht="12" x14ac:dyDescent="0.15">
      <c r="A145" s="11">
        <v>44126</v>
      </c>
      <c r="B145" s="7" t="s">
        <v>12</v>
      </c>
      <c r="C145" s="8" t="s">
        <v>10</v>
      </c>
      <c r="D145" s="8" t="s">
        <v>11</v>
      </c>
      <c r="E145" s="9"/>
      <c r="F145" s="14">
        <f t="shared" si="11"/>
        <v>8.6666666666666679</v>
      </c>
      <c r="H145" s="91"/>
    </row>
    <row r="146" spans="1:8" s="5" customFormat="1" ht="12" x14ac:dyDescent="0.15">
      <c r="A146" s="6">
        <v>44127</v>
      </c>
      <c r="B146" s="7" t="s">
        <v>12</v>
      </c>
      <c r="C146" s="8" t="s">
        <v>10</v>
      </c>
      <c r="D146" s="8" t="s">
        <v>11</v>
      </c>
      <c r="E146" s="9"/>
      <c r="F146" s="14">
        <f t="shared" si="11"/>
        <v>8.6666666666666679</v>
      </c>
      <c r="H146" s="91"/>
    </row>
    <row r="147" spans="1:8" s="5" customFormat="1" ht="12" x14ac:dyDescent="0.15">
      <c r="A147" s="11">
        <v>44128</v>
      </c>
      <c r="B147" s="7" t="s">
        <v>8</v>
      </c>
      <c r="C147" s="8"/>
      <c r="D147" s="8"/>
      <c r="E147" s="9"/>
      <c r="F147" s="14" t="str">
        <f t="shared" si="11"/>
        <v/>
      </c>
      <c r="H147" s="91"/>
    </row>
    <row r="148" spans="1:8" s="5" customFormat="1" ht="12" x14ac:dyDescent="0.15">
      <c r="A148" s="34">
        <v>44129</v>
      </c>
      <c r="B148" s="35" t="s">
        <v>8</v>
      </c>
      <c r="C148" s="28"/>
      <c r="D148" s="8"/>
      <c r="E148" s="9"/>
      <c r="F148" s="14" t="str">
        <f t="shared" si="11"/>
        <v/>
      </c>
      <c r="G148" s="29"/>
      <c r="H148" s="92"/>
    </row>
    <row r="149" spans="1:8" s="5" customFormat="1" ht="12" x14ac:dyDescent="0.15">
      <c r="A149" s="36">
        <v>44130</v>
      </c>
      <c r="B149" s="31" t="s">
        <v>8</v>
      </c>
      <c r="C149" s="32"/>
      <c r="D149" s="8"/>
      <c r="E149" s="9"/>
      <c r="F149" s="14" t="str">
        <f t="shared" si="11"/>
        <v/>
      </c>
      <c r="G149" s="33"/>
      <c r="H149" s="90">
        <f t="shared" si="12"/>
        <v>17.333333333333336</v>
      </c>
    </row>
    <row r="150" spans="1:8" s="5" customFormat="1" ht="12" x14ac:dyDescent="0.15">
      <c r="A150" s="6">
        <v>44131</v>
      </c>
      <c r="B150" s="7" t="s">
        <v>12</v>
      </c>
      <c r="C150" s="8" t="s">
        <v>10</v>
      </c>
      <c r="D150" s="8" t="s">
        <v>11</v>
      </c>
      <c r="E150" s="9"/>
      <c r="F150" s="14">
        <f t="shared" si="11"/>
        <v>8.6666666666666679</v>
      </c>
      <c r="H150" s="91"/>
    </row>
    <row r="151" spans="1:8" s="5" customFormat="1" ht="12" x14ac:dyDescent="0.15">
      <c r="A151" s="11">
        <v>44132</v>
      </c>
      <c r="B151" s="7" t="s">
        <v>8</v>
      </c>
      <c r="C151" s="8"/>
      <c r="D151" s="8"/>
      <c r="E151" s="9"/>
      <c r="F151" s="14" t="str">
        <f t="shared" si="11"/>
        <v/>
      </c>
      <c r="H151" s="91"/>
    </row>
    <row r="152" spans="1:8" s="5" customFormat="1" ht="12" x14ac:dyDescent="0.15">
      <c r="A152" s="6">
        <v>44133</v>
      </c>
      <c r="B152" s="7" t="s">
        <v>9</v>
      </c>
      <c r="C152" s="8" t="s">
        <v>10</v>
      </c>
      <c r="D152" s="8" t="s">
        <v>11</v>
      </c>
      <c r="E152" s="9"/>
      <c r="F152" s="14">
        <f t="shared" si="11"/>
        <v>8.6666666666666679</v>
      </c>
      <c r="H152" s="91"/>
    </row>
    <row r="153" spans="1:8" s="5" customFormat="1" ht="12" x14ac:dyDescent="0.15">
      <c r="A153" s="11">
        <v>44134</v>
      </c>
      <c r="B153" s="7" t="s">
        <v>8</v>
      </c>
      <c r="C153" s="8"/>
      <c r="D153" s="8"/>
      <c r="E153" s="9"/>
      <c r="F153" s="14" t="str">
        <f t="shared" si="11"/>
        <v/>
      </c>
      <c r="H153" s="91"/>
    </row>
    <row r="154" spans="1:8" s="5" customFormat="1" ht="12" x14ac:dyDescent="0.15">
      <c r="A154" s="6">
        <v>44135</v>
      </c>
      <c r="B154" s="7" t="s">
        <v>8</v>
      </c>
      <c r="C154" s="8"/>
      <c r="D154" s="8"/>
      <c r="E154" s="9"/>
      <c r="F154" s="14" t="str">
        <f t="shared" si="11"/>
        <v/>
      </c>
      <c r="H154" s="91"/>
    </row>
    <row r="155" spans="1:8" s="5" customFormat="1" ht="12" x14ac:dyDescent="0.15">
      <c r="A155" s="43">
        <v>44136</v>
      </c>
      <c r="B155" s="35" t="s">
        <v>8</v>
      </c>
      <c r="C155" s="28"/>
      <c r="D155" s="8"/>
      <c r="E155" s="9"/>
      <c r="F155" s="14" t="str">
        <f t="shared" si="11"/>
        <v/>
      </c>
      <c r="G155" s="29"/>
      <c r="H155" s="92"/>
    </row>
    <row r="156" spans="1:8" s="5" customFormat="1" ht="12" x14ac:dyDescent="0.15">
      <c r="A156" s="23">
        <v>44137</v>
      </c>
      <c r="B156" s="24" t="s">
        <v>9</v>
      </c>
      <c r="C156" s="8" t="s">
        <v>10</v>
      </c>
      <c r="D156" s="8" t="s">
        <v>11</v>
      </c>
      <c r="E156" s="9"/>
      <c r="F156" s="14">
        <f t="shared" si="11"/>
        <v>8.6666666666666679</v>
      </c>
      <c r="H156" s="91">
        <f t="shared" si="12"/>
        <v>43.333333333333343</v>
      </c>
    </row>
    <row r="157" spans="1:8" s="5" customFormat="1" ht="12" x14ac:dyDescent="0.15">
      <c r="A157" s="11">
        <v>44138</v>
      </c>
      <c r="B157" s="7" t="s">
        <v>9</v>
      </c>
      <c r="C157" s="8" t="s">
        <v>10</v>
      </c>
      <c r="D157" s="8" t="s">
        <v>11</v>
      </c>
      <c r="E157" s="9"/>
      <c r="F157" s="14">
        <f t="shared" si="11"/>
        <v>8.6666666666666679</v>
      </c>
      <c r="H157" s="91"/>
    </row>
    <row r="158" spans="1:8" s="5" customFormat="1" ht="12" x14ac:dyDescent="0.15">
      <c r="A158" s="6">
        <v>44139</v>
      </c>
      <c r="B158" s="7" t="s">
        <v>9</v>
      </c>
      <c r="C158" s="8" t="s">
        <v>10</v>
      </c>
      <c r="D158" s="8" t="s">
        <v>11</v>
      </c>
      <c r="E158" s="9"/>
      <c r="F158" s="14">
        <f t="shared" si="11"/>
        <v>8.6666666666666679</v>
      </c>
      <c r="H158" s="91"/>
    </row>
    <row r="159" spans="1:8" s="5" customFormat="1" ht="12" x14ac:dyDescent="0.15">
      <c r="A159" s="11">
        <v>44140</v>
      </c>
      <c r="B159" s="7" t="s">
        <v>12</v>
      </c>
      <c r="C159" s="8" t="s">
        <v>10</v>
      </c>
      <c r="D159" s="8" t="s">
        <v>11</v>
      </c>
      <c r="E159" s="9"/>
      <c r="F159" s="14">
        <f t="shared" si="11"/>
        <v>8.6666666666666679</v>
      </c>
      <c r="H159" s="91"/>
    </row>
    <row r="160" spans="1:8" s="5" customFormat="1" ht="12" x14ac:dyDescent="0.15">
      <c r="A160" s="6">
        <v>44141</v>
      </c>
      <c r="B160" s="7" t="s">
        <v>12</v>
      </c>
      <c r="C160" s="8" t="s">
        <v>10</v>
      </c>
      <c r="D160" s="8" t="s">
        <v>11</v>
      </c>
      <c r="E160" s="9"/>
      <c r="F160" s="14">
        <f t="shared" si="11"/>
        <v>8.6666666666666679</v>
      </c>
      <c r="H160" s="91"/>
    </row>
    <row r="161" spans="1:8" s="5" customFormat="1" ht="12" x14ac:dyDescent="0.15">
      <c r="A161" s="11">
        <v>44142</v>
      </c>
      <c r="B161" s="7" t="s">
        <v>8</v>
      </c>
      <c r="C161" s="8"/>
      <c r="D161" s="8"/>
      <c r="E161" s="9"/>
      <c r="F161" s="14" t="str">
        <f t="shared" si="11"/>
        <v/>
      </c>
      <c r="H161" s="91"/>
    </row>
    <row r="162" spans="1:8" s="5" customFormat="1" ht="12" x14ac:dyDescent="0.15">
      <c r="A162" s="6">
        <v>44143</v>
      </c>
      <c r="B162" s="7" t="s">
        <v>8</v>
      </c>
      <c r="C162" s="8"/>
      <c r="D162" s="8"/>
      <c r="E162" s="9"/>
      <c r="F162" s="14" t="str">
        <f t="shared" si="11"/>
        <v/>
      </c>
      <c r="H162" s="91"/>
    </row>
    <row r="163" spans="1:8" s="5" customFormat="1" ht="12" x14ac:dyDescent="0.15">
      <c r="A163" s="36">
        <v>44144</v>
      </c>
      <c r="B163" s="31" t="s">
        <v>8</v>
      </c>
      <c r="C163" s="32"/>
      <c r="D163" s="8"/>
      <c r="E163" s="9"/>
      <c r="F163" s="14" t="str">
        <f t="shared" si="11"/>
        <v/>
      </c>
      <c r="G163" s="33"/>
      <c r="H163" s="90">
        <f t="shared" ref="H163:H226" si="13">SUM(F163:F169)</f>
        <v>34.666666666666671</v>
      </c>
    </row>
    <row r="164" spans="1:8" s="5" customFormat="1" ht="12" x14ac:dyDescent="0.15">
      <c r="A164" s="6">
        <v>44145</v>
      </c>
      <c r="B164" s="7" t="s">
        <v>12</v>
      </c>
      <c r="C164" s="8" t="s">
        <v>10</v>
      </c>
      <c r="D164" s="8" t="s">
        <v>11</v>
      </c>
      <c r="E164" s="9"/>
      <c r="F164" s="14">
        <f t="shared" si="11"/>
        <v>8.6666666666666679</v>
      </c>
      <c r="H164" s="91"/>
    </row>
    <row r="165" spans="1:8" s="5" customFormat="1" ht="12" x14ac:dyDescent="0.15">
      <c r="A165" s="11">
        <v>44146</v>
      </c>
      <c r="B165" s="7" t="s">
        <v>9</v>
      </c>
      <c r="C165" s="8" t="s">
        <v>10</v>
      </c>
      <c r="D165" s="8" t="s">
        <v>11</v>
      </c>
      <c r="E165" s="9"/>
      <c r="F165" s="14">
        <f t="shared" si="11"/>
        <v>8.6666666666666679</v>
      </c>
      <c r="H165" s="91"/>
    </row>
    <row r="166" spans="1:8" s="5" customFormat="1" ht="12" x14ac:dyDescent="0.15">
      <c r="A166" s="6">
        <v>44147</v>
      </c>
      <c r="B166" s="7" t="s">
        <v>9</v>
      </c>
      <c r="C166" s="8" t="s">
        <v>10</v>
      </c>
      <c r="D166" s="8" t="s">
        <v>11</v>
      </c>
      <c r="E166" s="9"/>
      <c r="F166" s="14">
        <f t="shared" si="11"/>
        <v>8.6666666666666679</v>
      </c>
      <c r="H166" s="91"/>
    </row>
    <row r="167" spans="1:8" s="5" customFormat="1" ht="12" x14ac:dyDescent="0.15">
      <c r="A167" s="11">
        <v>44148</v>
      </c>
      <c r="B167" s="7" t="s">
        <v>9</v>
      </c>
      <c r="C167" s="8" t="s">
        <v>10</v>
      </c>
      <c r="D167" s="8" t="s">
        <v>11</v>
      </c>
      <c r="E167" s="9"/>
      <c r="F167" s="14">
        <f t="shared" si="11"/>
        <v>8.6666666666666679</v>
      </c>
      <c r="H167" s="91"/>
    </row>
    <row r="168" spans="1:8" s="5" customFormat="1" ht="12" x14ac:dyDescent="0.15">
      <c r="A168" s="6">
        <v>44149</v>
      </c>
      <c r="B168" s="7" t="s">
        <v>8</v>
      </c>
      <c r="C168" s="8"/>
      <c r="D168" s="8"/>
      <c r="E168" s="9"/>
      <c r="F168" s="14" t="str">
        <f t="shared" si="11"/>
        <v/>
      </c>
      <c r="H168" s="91"/>
    </row>
    <row r="169" spans="1:8" s="5" customFormat="1" ht="12" x14ac:dyDescent="0.15">
      <c r="A169" s="43">
        <v>44150</v>
      </c>
      <c r="B169" s="35" t="s">
        <v>8</v>
      </c>
      <c r="C169" s="28"/>
      <c r="D169" s="8"/>
      <c r="E169" s="9"/>
      <c r="F169" s="14" t="str">
        <f t="shared" si="11"/>
        <v/>
      </c>
      <c r="G169" s="29"/>
      <c r="H169" s="92"/>
    </row>
    <row r="170" spans="1:8" s="5" customFormat="1" ht="12" x14ac:dyDescent="0.15">
      <c r="A170" s="30">
        <v>44151</v>
      </c>
      <c r="B170" s="31" t="s">
        <v>8</v>
      </c>
      <c r="C170" s="32"/>
      <c r="D170" s="8"/>
      <c r="E170" s="9"/>
      <c r="F170" s="14" t="str">
        <f t="shared" si="11"/>
        <v/>
      </c>
      <c r="G170" s="33"/>
      <c r="H170" s="90">
        <f t="shared" ref="H170:H233" si="14">SUM(F170:F176)</f>
        <v>34.666666666666671</v>
      </c>
    </row>
    <row r="171" spans="1:8" s="5" customFormat="1" ht="12" x14ac:dyDescent="0.15">
      <c r="A171" s="11">
        <v>44152</v>
      </c>
      <c r="B171" s="7" t="s">
        <v>9</v>
      </c>
      <c r="C171" s="8" t="s">
        <v>10</v>
      </c>
      <c r="D171" s="8" t="s">
        <v>11</v>
      </c>
      <c r="E171" s="9"/>
      <c r="F171" s="14">
        <f t="shared" si="11"/>
        <v>8.6666666666666679</v>
      </c>
      <c r="H171" s="91"/>
    </row>
    <row r="172" spans="1:8" s="5" customFormat="1" ht="12" x14ac:dyDescent="0.15">
      <c r="A172" s="6">
        <v>44153</v>
      </c>
      <c r="B172" s="7" t="s">
        <v>9</v>
      </c>
      <c r="C172" s="8" t="s">
        <v>10</v>
      </c>
      <c r="D172" s="8" t="s">
        <v>11</v>
      </c>
      <c r="E172" s="9"/>
      <c r="F172" s="14">
        <f t="shared" si="11"/>
        <v>8.6666666666666679</v>
      </c>
      <c r="H172" s="91"/>
    </row>
    <row r="173" spans="1:8" s="5" customFormat="1" ht="12" x14ac:dyDescent="0.15">
      <c r="A173" s="11">
        <v>44154</v>
      </c>
      <c r="B173" s="7" t="s">
        <v>12</v>
      </c>
      <c r="C173" s="8" t="s">
        <v>10</v>
      </c>
      <c r="D173" s="8" t="s">
        <v>11</v>
      </c>
      <c r="E173" s="9"/>
      <c r="F173" s="14">
        <f t="shared" si="11"/>
        <v>8.6666666666666679</v>
      </c>
      <c r="H173" s="91"/>
    </row>
    <row r="174" spans="1:8" s="5" customFormat="1" ht="12" x14ac:dyDescent="0.15">
      <c r="A174" s="6">
        <v>44155</v>
      </c>
      <c r="B174" s="7" t="s">
        <v>12</v>
      </c>
      <c r="C174" s="8" t="s">
        <v>10</v>
      </c>
      <c r="D174" s="8" t="s">
        <v>11</v>
      </c>
      <c r="E174" s="9"/>
      <c r="F174" s="14">
        <f t="shared" si="11"/>
        <v>8.6666666666666679</v>
      </c>
      <c r="H174" s="91"/>
    </row>
    <row r="175" spans="1:8" s="5" customFormat="1" ht="12" x14ac:dyDescent="0.15">
      <c r="A175" s="11">
        <v>44156</v>
      </c>
      <c r="B175" s="7" t="s">
        <v>8</v>
      </c>
      <c r="C175" s="8"/>
      <c r="D175" s="8"/>
      <c r="E175" s="9"/>
      <c r="F175" s="14" t="str">
        <f t="shared" si="11"/>
        <v/>
      </c>
      <c r="H175" s="91"/>
    </row>
    <row r="176" spans="1:8" s="5" customFormat="1" ht="12" x14ac:dyDescent="0.15">
      <c r="A176" s="34">
        <v>44157</v>
      </c>
      <c r="B176" s="35" t="s">
        <v>8</v>
      </c>
      <c r="C176" s="28"/>
      <c r="D176" s="8"/>
      <c r="E176" s="9"/>
      <c r="F176" s="14" t="str">
        <f t="shared" si="11"/>
        <v/>
      </c>
      <c r="G176" s="29"/>
      <c r="H176" s="92"/>
    </row>
    <row r="177" spans="1:8" s="5" customFormat="1" ht="12" x14ac:dyDescent="0.15">
      <c r="A177" s="36">
        <v>44158</v>
      </c>
      <c r="B177" s="31" t="s">
        <v>8</v>
      </c>
      <c r="C177" s="32"/>
      <c r="D177" s="8"/>
      <c r="E177" s="9"/>
      <c r="F177" s="14" t="str">
        <f t="shared" si="11"/>
        <v/>
      </c>
      <c r="G177" s="33"/>
      <c r="H177" s="90">
        <f t="shared" si="14"/>
        <v>34.666666666666671</v>
      </c>
    </row>
    <row r="178" spans="1:8" s="5" customFormat="1" ht="12" x14ac:dyDescent="0.15">
      <c r="A178" s="6">
        <v>44159</v>
      </c>
      <c r="B178" s="7" t="s">
        <v>12</v>
      </c>
      <c r="C178" s="8" t="s">
        <v>10</v>
      </c>
      <c r="D178" s="8" t="s">
        <v>11</v>
      </c>
      <c r="E178" s="9"/>
      <c r="F178" s="14">
        <f t="shared" si="11"/>
        <v>8.6666666666666679</v>
      </c>
      <c r="H178" s="91"/>
    </row>
    <row r="179" spans="1:8" s="5" customFormat="1" ht="12" x14ac:dyDescent="0.15">
      <c r="A179" s="11">
        <v>44160</v>
      </c>
      <c r="B179" s="7" t="s">
        <v>12</v>
      </c>
      <c r="C179" s="8" t="s">
        <v>10</v>
      </c>
      <c r="D179" s="8" t="s">
        <v>11</v>
      </c>
      <c r="E179" s="9"/>
      <c r="F179" s="14">
        <f t="shared" si="11"/>
        <v>8.6666666666666679</v>
      </c>
      <c r="H179" s="91"/>
    </row>
    <row r="180" spans="1:8" s="5" customFormat="1" ht="12" x14ac:dyDescent="0.15">
      <c r="A180" s="6">
        <v>44161</v>
      </c>
      <c r="B180" s="7" t="s">
        <v>12</v>
      </c>
      <c r="C180" s="8" t="s">
        <v>10</v>
      </c>
      <c r="D180" s="8" t="s">
        <v>11</v>
      </c>
      <c r="E180" s="9"/>
      <c r="F180" s="14">
        <f t="shared" si="11"/>
        <v>8.6666666666666679</v>
      </c>
      <c r="H180" s="91"/>
    </row>
    <row r="181" spans="1:8" s="5" customFormat="1" ht="12" x14ac:dyDescent="0.15">
      <c r="A181" s="11">
        <v>44162</v>
      </c>
      <c r="B181" s="7" t="s">
        <v>9</v>
      </c>
      <c r="C181" s="8" t="s">
        <v>10</v>
      </c>
      <c r="D181" s="8" t="s">
        <v>11</v>
      </c>
      <c r="E181" s="9"/>
      <c r="F181" s="14">
        <f t="shared" si="11"/>
        <v>8.6666666666666679</v>
      </c>
      <c r="H181" s="91"/>
    </row>
    <row r="182" spans="1:8" s="5" customFormat="1" ht="12" x14ac:dyDescent="0.15">
      <c r="A182" s="6">
        <v>44163</v>
      </c>
      <c r="B182" s="7" t="s">
        <v>8</v>
      </c>
      <c r="C182" s="8"/>
      <c r="D182" s="8"/>
      <c r="E182" s="9"/>
      <c r="F182" s="14" t="str">
        <f t="shared" si="11"/>
        <v/>
      </c>
      <c r="H182" s="91"/>
    </row>
    <row r="183" spans="1:8" s="5" customFormat="1" ht="12" x14ac:dyDescent="0.15">
      <c r="A183" s="43">
        <v>44164</v>
      </c>
      <c r="B183" s="35" t="s">
        <v>8</v>
      </c>
      <c r="C183" s="28"/>
      <c r="D183" s="8"/>
      <c r="E183" s="9"/>
      <c r="F183" s="14" t="str">
        <f t="shared" si="11"/>
        <v/>
      </c>
      <c r="G183" s="29"/>
      <c r="H183" s="92"/>
    </row>
    <row r="184" spans="1:8" s="5" customFormat="1" ht="12" x14ac:dyDescent="0.15">
      <c r="A184" s="30">
        <v>44165</v>
      </c>
      <c r="B184" s="31" t="s">
        <v>9</v>
      </c>
      <c r="C184" s="32" t="s">
        <v>10</v>
      </c>
      <c r="D184" s="8" t="s">
        <v>11</v>
      </c>
      <c r="E184" s="9"/>
      <c r="F184" s="14">
        <f t="shared" si="11"/>
        <v>8.6666666666666679</v>
      </c>
      <c r="G184" s="33"/>
      <c r="H184" s="90">
        <f t="shared" si="14"/>
        <v>43.333333333333343</v>
      </c>
    </row>
    <row r="185" spans="1:8" s="5" customFormat="1" ht="12" x14ac:dyDescent="0.15">
      <c r="A185" s="11">
        <v>44166</v>
      </c>
      <c r="B185" s="7" t="s">
        <v>12</v>
      </c>
      <c r="C185" s="8" t="s">
        <v>10</v>
      </c>
      <c r="D185" s="8" t="s">
        <v>11</v>
      </c>
      <c r="E185" s="9"/>
      <c r="F185" s="14">
        <f t="shared" si="11"/>
        <v>8.6666666666666679</v>
      </c>
      <c r="H185" s="91"/>
    </row>
    <row r="186" spans="1:8" s="5" customFormat="1" ht="12" x14ac:dyDescent="0.15">
      <c r="A186" s="6">
        <v>44167</v>
      </c>
      <c r="B186" s="7" t="s">
        <v>9</v>
      </c>
      <c r="C186" s="8" t="s">
        <v>10</v>
      </c>
      <c r="D186" s="8" t="s">
        <v>11</v>
      </c>
      <c r="E186" s="9"/>
      <c r="F186" s="14">
        <f t="shared" si="11"/>
        <v>8.6666666666666679</v>
      </c>
      <c r="H186" s="91"/>
    </row>
    <row r="187" spans="1:8" s="5" customFormat="1" ht="12" x14ac:dyDescent="0.15">
      <c r="A187" s="11">
        <v>44168</v>
      </c>
      <c r="B187" s="7" t="s">
        <v>9</v>
      </c>
      <c r="C187" s="8" t="s">
        <v>10</v>
      </c>
      <c r="D187" s="8" t="s">
        <v>11</v>
      </c>
      <c r="E187" s="9"/>
      <c r="F187" s="14">
        <f t="shared" si="11"/>
        <v>8.6666666666666679</v>
      </c>
      <c r="H187" s="91"/>
    </row>
    <row r="188" spans="1:8" s="5" customFormat="1" ht="12" x14ac:dyDescent="0.15">
      <c r="A188" s="6">
        <v>44169</v>
      </c>
      <c r="B188" s="7" t="s">
        <v>12</v>
      </c>
      <c r="C188" s="8" t="s">
        <v>10</v>
      </c>
      <c r="D188" s="8" t="s">
        <v>11</v>
      </c>
      <c r="E188" s="9"/>
      <c r="F188" s="14">
        <f t="shared" si="11"/>
        <v>8.6666666666666679</v>
      </c>
      <c r="H188" s="91"/>
    </row>
    <row r="189" spans="1:8" s="5" customFormat="1" ht="12" x14ac:dyDescent="0.15">
      <c r="A189" s="11">
        <v>44170</v>
      </c>
      <c r="B189" s="7" t="s">
        <v>8</v>
      </c>
      <c r="C189" s="8"/>
      <c r="D189" s="8"/>
      <c r="E189" s="9"/>
      <c r="F189" s="14" t="str">
        <f t="shared" si="11"/>
        <v/>
      </c>
      <c r="H189" s="91"/>
    </row>
    <row r="190" spans="1:8" s="5" customFormat="1" ht="12" x14ac:dyDescent="0.15">
      <c r="A190" s="34">
        <v>44171</v>
      </c>
      <c r="B190" s="35" t="s">
        <v>8</v>
      </c>
      <c r="C190" s="28"/>
      <c r="D190" s="8"/>
      <c r="E190" s="9"/>
      <c r="F190" s="14" t="str">
        <f t="shared" si="11"/>
        <v/>
      </c>
      <c r="G190" s="29"/>
      <c r="H190" s="92"/>
    </row>
    <row r="191" spans="1:8" s="5" customFormat="1" ht="12" x14ac:dyDescent="0.15">
      <c r="A191" s="36">
        <v>44172</v>
      </c>
      <c r="B191" s="31" t="s">
        <v>8</v>
      </c>
      <c r="C191" s="32"/>
      <c r="D191" s="8"/>
      <c r="E191" s="9"/>
      <c r="F191" s="14" t="str">
        <f t="shared" si="11"/>
        <v/>
      </c>
      <c r="G191" s="33"/>
      <c r="H191" s="90">
        <f t="shared" si="10"/>
        <v>34.666666666666671</v>
      </c>
    </row>
    <row r="192" spans="1:8" s="5" customFormat="1" ht="12" x14ac:dyDescent="0.15">
      <c r="A192" s="6">
        <v>44173</v>
      </c>
      <c r="B192" s="7" t="s">
        <v>12</v>
      </c>
      <c r="C192" s="8" t="s">
        <v>10</v>
      </c>
      <c r="D192" s="8" t="s">
        <v>11</v>
      </c>
      <c r="E192" s="9"/>
      <c r="F192" s="14">
        <f t="shared" si="11"/>
        <v>8.6666666666666679</v>
      </c>
      <c r="H192" s="91"/>
    </row>
    <row r="193" spans="1:8" s="5" customFormat="1" ht="12" x14ac:dyDescent="0.15">
      <c r="A193" s="11">
        <v>44174</v>
      </c>
      <c r="B193" s="7" t="s">
        <v>12</v>
      </c>
      <c r="C193" s="8" t="s">
        <v>10</v>
      </c>
      <c r="D193" s="8" t="s">
        <v>11</v>
      </c>
      <c r="E193" s="9"/>
      <c r="F193" s="14">
        <f t="shared" si="11"/>
        <v>8.6666666666666679</v>
      </c>
      <c r="H193" s="91"/>
    </row>
    <row r="194" spans="1:8" s="5" customFormat="1" ht="12" x14ac:dyDescent="0.15">
      <c r="A194" s="6">
        <v>44175</v>
      </c>
      <c r="B194" s="7" t="s">
        <v>9</v>
      </c>
      <c r="C194" s="8" t="s">
        <v>10</v>
      </c>
      <c r="D194" s="8" t="s">
        <v>11</v>
      </c>
      <c r="E194" s="9"/>
      <c r="F194" s="14">
        <f t="shared" si="11"/>
        <v>8.6666666666666679</v>
      </c>
      <c r="H194" s="91"/>
    </row>
    <row r="195" spans="1:8" s="5" customFormat="1" ht="12" x14ac:dyDescent="0.15">
      <c r="A195" s="11">
        <v>44176</v>
      </c>
      <c r="B195" s="7" t="s">
        <v>9</v>
      </c>
      <c r="C195" s="8" t="s">
        <v>10</v>
      </c>
      <c r="D195" s="8" t="s">
        <v>11</v>
      </c>
      <c r="E195" s="9"/>
      <c r="F195" s="14">
        <f t="shared" si="11"/>
        <v>8.6666666666666679</v>
      </c>
      <c r="H195" s="91"/>
    </row>
    <row r="196" spans="1:8" s="5" customFormat="1" ht="12" x14ac:dyDescent="0.15">
      <c r="A196" s="6">
        <v>44177</v>
      </c>
      <c r="B196" s="7" t="s">
        <v>8</v>
      </c>
      <c r="C196" s="8"/>
      <c r="D196" s="8"/>
      <c r="E196" s="9"/>
      <c r="F196" s="14" t="str">
        <f t="shared" si="11"/>
        <v/>
      </c>
      <c r="H196" s="91"/>
    </row>
    <row r="197" spans="1:8" s="5" customFormat="1" ht="12" x14ac:dyDescent="0.15">
      <c r="A197" s="43">
        <v>44178</v>
      </c>
      <c r="B197" s="35" t="s">
        <v>8</v>
      </c>
      <c r="C197" s="28"/>
      <c r="D197" s="8"/>
      <c r="E197" s="9"/>
      <c r="F197" s="14" t="str">
        <f t="shared" ref="F197:F260" si="15">IF(C197="", "", IF(D197="", "", (D197-C197)*24 - E197))</f>
        <v/>
      </c>
      <c r="G197" s="29"/>
      <c r="H197" s="92"/>
    </row>
    <row r="198" spans="1:8" s="5" customFormat="1" ht="12" x14ac:dyDescent="0.15">
      <c r="A198" s="30">
        <v>44179</v>
      </c>
      <c r="B198" s="31" t="s">
        <v>9</v>
      </c>
      <c r="C198" s="32" t="s">
        <v>10</v>
      </c>
      <c r="D198" s="8" t="s">
        <v>11</v>
      </c>
      <c r="E198" s="9"/>
      <c r="F198" s="14">
        <f t="shared" si="15"/>
        <v>8.6666666666666679</v>
      </c>
      <c r="G198" s="33"/>
      <c r="H198" s="90">
        <f t="shared" si="12"/>
        <v>43.333333333333343</v>
      </c>
    </row>
    <row r="199" spans="1:8" s="5" customFormat="1" ht="12" x14ac:dyDescent="0.15">
      <c r="A199" s="11">
        <v>44180</v>
      </c>
      <c r="B199" s="7" t="s">
        <v>9</v>
      </c>
      <c r="C199" s="8" t="s">
        <v>10</v>
      </c>
      <c r="D199" s="8" t="s">
        <v>11</v>
      </c>
      <c r="E199" s="9"/>
      <c r="F199" s="14">
        <f t="shared" si="15"/>
        <v>8.6666666666666679</v>
      </c>
      <c r="H199" s="91"/>
    </row>
    <row r="200" spans="1:8" s="5" customFormat="1" ht="12" x14ac:dyDescent="0.15">
      <c r="A200" s="6">
        <v>44181</v>
      </c>
      <c r="B200" s="7" t="s">
        <v>9</v>
      </c>
      <c r="C200" s="8" t="s">
        <v>10</v>
      </c>
      <c r="D200" s="8" t="s">
        <v>11</v>
      </c>
      <c r="E200" s="9"/>
      <c r="F200" s="14">
        <f t="shared" si="15"/>
        <v>8.6666666666666679</v>
      </c>
      <c r="H200" s="91"/>
    </row>
    <row r="201" spans="1:8" s="5" customFormat="1" ht="12" x14ac:dyDescent="0.15">
      <c r="A201" s="11">
        <v>44182</v>
      </c>
      <c r="B201" s="7" t="s">
        <v>9</v>
      </c>
      <c r="C201" s="8" t="s">
        <v>10</v>
      </c>
      <c r="D201" s="8" t="s">
        <v>11</v>
      </c>
      <c r="E201" s="9"/>
      <c r="F201" s="14">
        <f t="shared" si="15"/>
        <v>8.6666666666666679</v>
      </c>
      <c r="H201" s="91"/>
    </row>
    <row r="202" spans="1:8" s="5" customFormat="1" ht="12" x14ac:dyDescent="0.15">
      <c r="A202" s="6">
        <v>44183</v>
      </c>
      <c r="B202" s="7" t="s">
        <v>12</v>
      </c>
      <c r="C202" s="8" t="s">
        <v>10</v>
      </c>
      <c r="D202" s="8" t="s">
        <v>11</v>
      </c>
      <c r="E202" s="9"/>
      <c r="F202" s="14">
        <f t="shared" si="15"/>
        <v>8.6666666666666679</v>
      </c>
      <c r="H202" s="91"/>
    </row>
    <row r="203" spans="1:8" s="5" customFormat="1" ht="12" x14ac:dyDescent="0.15">
      <c r="A203" s="11">
        <v>44184</v>
      </c>
      <c r="B203" s="7" t="s">
        <v>8</v>
      </c>
      <c r="C203" s="8"/>
      <c r="D203" s="8"/>
      <c r="E203" s="9"/>
      <c r="F203" s="14" t="str">
        <f t="shared" si="15"/>
        <v/>
      </c>
      <c r="H203" s="91"/>
    </row>
    <row r="204" spans="1:8" s="5" customFormat="1" ht="12" x14ac:dyDescent="0.15">
      <c r="A204" s="34">
        <v>44185</v>
      </c>
      <c r="B204" s="35" t="s">
        <v>8</v>
      </c>
      <c r="C204" s="28"/>
      <c r="D204" s="8"/>
      <c r="E204" s="9"/>
      <c r="F204" s="14" t="str">
        <f t="shared" si="15"/>
        <v/>
      </c>
      <c r="G204" s="29"/>
      <c r="H204" s="92"/>
    </row>
    <row r="205" spans="1:8" s="5" customFormat="1" ht="12" x14ac:dyDescent="0.15">
      <c r="A205" s="36">
        <v>44186</v>
      </c>
      <c r="B205" s="31" t="s">
        <v>8</v>
      </c>
      <c r="C205" s="32"/>
      <c r="D205" s="8"/>
      <c r="E205" s="9"/>
      <c r="F205" s="14" t="str">
        <f t="shared" si="15"/>
        <v/>
      </c>
      <c r="G205" s="33"/>
      <c r="H205" s="90">
        <f t="shared" ref="H205:H219" si="16">SUM(F205:F211)</f>
        <v>0</v>
      </c>
    </row>
    <row r="206" spans="1:8" s="5" customFormat="1" ht="12" x14ac:dyDescent="0.15">
      <c r="A206" s="6">
        <v>44187</v>
      </c>
      <c r="B206" s="7" t="s">
        <v>8</v>
      </c>
      <c r="C206" s="8"/>
      <c r="D206" s="8"/>
      <c r="E206" s="9"/>
      <c r="F206" s="14" t="str">
        <f t="shared" si="15"/>
        <v/>
      </c>
      <c r="H206" s="91"/>
    </row>
    <row r="207" spans="1:8" s="5" customFormat="1" ht="12" x14ac:dyDescent="0.15">
      <c r="A207" s="11">
        <v>44188</v>
      </c>
      <c r="B207" s="7" t="s">
        <v>8</v>
      </c>
      <c r="C207" s="8"/>
      <c r="D207" s="8"/>
      <c r="E207" s="9"/>
      <c r="F207" s="14" t="str">
        <f t="shared" si="15"/>
        <v/>
      </c>
      <c r="H207" s="91"/>
    </row>
    <row r="208" spans="1:8" s="5" customFormat="1" ht="12" x14ac:dyDescent="0.15">
      <c r="A208" s="6">
        <v>44189</v>
      </c>
      <c r="B208" s="7" t="s">
        <v>8</v>
      </c>
      <c r="C208" s="8"/>
      <c r="D208" s="8"/>
      <c r="E208" s="9"/>
      <c r="F208" s="14" t="str">
        <f t="shared" si="15"/>
        <v/>
      </c>
      <c r="H208" s="91"/>
    </row>
    <row r="209" spans="1:8" s="5" customFormat="1" ht="12" x14ac:dyDescent="0.15">
      <c r="A209" s="11">
        <v>44190</v>
      </c>
      <c r="B209" s="7" t="s">
        <v>8</v>
      </c>
      <c r="C209" s="8"/>
      <c r="D209" s="8"/>
      <c r="E209" s="9"/>
      <c r="F209" s="14" t="str">
        <f t="shared" si="15"/>
        <v/>
      </c>
      <c r="H209" s="91"/>
    </row>
    <row r="210" spans="1:8" s="5" customFormat="1" ht="12" x14ac:dyDescent="0.15">
      <c r="A210" s="6">
        <v>44191</v>
      </c>
      <c r="B210" s="7" t="s">
        <v>13</v>
      </c>
      <c r="C210" s="8"/>
      <c r="D210" s="8"/>
      <c r="E210" s="9"/>
      <c r="F210" s="14" t="str">
        <f t="shared" si="15"/>
        <v/>
      </c>
      <c r="H210" s="91"/>
    </row>
    <row r="211" spans="1:8" s="5" customFormat="1" ht="12" x14ac:dyDescent="0.15">
      <c r="A211" s="43">
        <v>44192</v>
      </c>
      <c r="B211" s="35" t="s">
        <v>13</v>
      </c>
      <c r="C211" s="28"/>
      <c r="D211" s="8"/>
      <c r="E211" s="9"/>
      <c r="F211" s="14" t="str">
        <f t="shared" si="15"/>
        <v/>
      </c>
      <c r="G211" s="29"/>
      <c r="H211" s="92"/>
    </row>
    <row r="212" spans="1:8" s="5" customFormat="1" ht="12" x14ac:dyDescent="0.15">
      <c r="A212" s="30">
        <v>44193</v>
      </c>
      <c r="B212" s="31" t="s">
        <v>13</v>
      </c>
      <c r="C212" s="32"/>
      <c r="D212" s="8"/>
      <c r="E212" s="9"/>
      <c r="F212" s="14" t="str">
        <f t="shared" si="15"/>
        <v/>
      </c>
      <c r="G212" s="33"/>
      <c r="H212" s="90">
        <f t="shared" si="16"/>
        <v>0</v>
      </c>
    </row>
    <row r="213" spans="1:8" s="5" customFormat="1" ht="12" x14ac:dyDescent="0.15">
      <c r="A213" s="11">
        <v>44194</v>
      </c>
      <c r="B213" s="7" t="s">
        <v>13</v>
      </c>
      <c r="C213" s="8"/>
      <c r="D213" s="8"/>
      <c r="E213" s="9"/>
      <c r="F213" s="14" t="str">
        <f t="shared" si="15"/>
        <v/>
      </c>
      <c r="H213" s="91"/>
    </row>
    <row r="214" spans="1:8" s="5" customFormat="1" ht="12" x14ac:dyDescent="0.15">
      <c r="A214" s="6">
        <v>44195</v>
      </c>
      <c r="B214" s="7" t="s">
        <v>8</v>
      </c>
      <c r="C214" s="8"/>
      <c r="D214" s="8"/>
      <c r="E214" s="9"/>
      <c r="F214" s="14" t="str">
        <f t="shared" si="15"/>
        <v/>
      </c>
      <c r="H214" s="91"/>
    </row>
    <row r="215" spans="1:8" s="5" customFormat="1" ht="12" x14ac:dyDescent="0.15">
      <c r="A215" s="37">
        <v>44196</v>
      </c>
      <c r="B215" s="38" t="s">
        <v>8</v>
      </c>
      <c r="C215" s="39"/>
      <c r="D215" s="39"/>
      <c r="E215" s="40"/>
      <c r="F215" s="41" t="str">
        <f t="shared" si="15"/>
        <v/>
      </c>
      <c r="G215" s="42"/>
      <c r="H215" s="91"/>
    </row>
    <row r="216" spans="1:8" s="5" customFormat="1" ht="12" x14ac:dyDescent="0.15">
      <c r="A216" s="6">
        <v>44197</v>
      </c>
      <c r="B216" s="7" t="s">
        <v>8</v>
      </c>
      <c r="C216" s="8"/>
      <c r="D216" s="8"/>
      <c r="E216" s="9"/>
      <c r="F216" s="14" t="str">
        <f t="shared" si="15"/>
        <v/>
      </c>
      <c r="H216" s="91"/>
    </row>
    <row r="217" spans="1:8" s="5" customFormat="1" ht="12" x14ac:dyDescent="0.15">
      <c r="A217" s="11">
        <v>44198</v>
      </c>
      <c r="B217" s="7" t="s">
        <v>8</v>
      </c>
      <c r="C217" s="8"/>
      <c r="D217" s="8"/>
      <c r="E217" s="9"/>
      <c r="F217" s="14" t="str">
        <f t="shared" si="15"/>
        <v/>
      </c>
      <c r="H217" s="91"/>
    </row>
    <row r="218" spans="1:8" s="5" customFormat="1" ht="12" x14ac:dyDescent="0.15">
      <c r="A218" s="34">
        <v>44199</v>
      </c>
      <c r="B218" s="35" t="s">
        <v>8</v>
      </c>
      <c r="C218" s="28"/>
      <c r="D218" s="8"/>
      <c r="E218" s="9"/>
      <c r="F218" s="14" t="str">
        <f t="shared" si="15"/>
        <v/>
      </c>
      <c r="G218" s="29"/>
      <c r="H218" s="92"/>
    </row>
    <row r="219" spans="1:8" s="5" customFormat="1" ht="12" x14ac:dyDescent="0.15">
      <c r="A219" s="36">
        <v>44200</v>
      </c>
      <c r="B219" s="31" t="s">
        <v>8</v>
      </c>
      <c r="C219" s="32"/>
      <c r="D219" s="8"/>
      <c r="E219" s="9"/>
      <c r="F219" s="14" t="str">
        <f t="shared" si="15"/>
        <v/>
      </c>
      <c r="G219" s="33"/>
      <c r="H219" s="90">
        <f t="shared" si="16"/>
        <v>34.666666666666671</v>
      </c>
    </row>
    <row r="220" spans="1:8" s="5" customFormat="1" ht="12" x14ac:dyDescent="0.15">
      <c r="A220" s="6">
        <v>44201</v>
      </c>
      <c r="B220" s="7" t="s">
        <v>12</v>
      </c>
      <c r="C220" s="8" t="s">
        <v>10</v>
      </c>
      <c r="D220" s="8" t="s">
        <v>11</v>
      </c>
      <c r="E220" s="9"/>
      <c r="F220" s="14">
        <f t="shared" si="15"/>
        <v>8.6666666666666679</v>
      </c>
      <c r="H220" s="91"/>
    </row>
    <row r="221" spans="1:8" s="5" customFormat="1" ht="12" x14ac:dyDescent="0.15">
      <c r="A221" s="11">
        <v>44202</v>
      </c>
      <c r="B221" s="7" t="s">
        <v>12</v>
      </c>
      <c r="C221" s="8" t="s">
        <v>10</v>
      </c>
      <c r="D221" s="8" t="s">
        <v>11</v>
      </c>
      <c r="E221" s="9"/>
      <c r="F221" s="14">
        <f t="shared" si="15"/>
        <v>8.6666666666666679</v>
      </c>
      <c r="H221" s="91"/>
    </row>
    <row r="222" spans="1:8" s="5" customFormat="1" ht="12" x14ac:dyDescent="0.15">
      <c r="A222" s="6">
        <v>44203</v>
      </c>
      <c r="B222" s="7" t="s">
        <v>9</v>
      </c>
      <c r="C222" s="8" t="s">
        <v>10</v>
      </c>
      <c r="D222" s="8" t="s">
        <v>11</v>
      </c>
      <c r="E222" s="9"/>
      <c r="F222" s="14">
        <f t="shared" si="15"/>
        <v>8.6666666666666679</v>
      </c>
      <c r="H222" s="91"/>
    </row>
    <row r="223" spans="1:8" s="5" customFormat="1" ht="12" x14ac:dyDescent="0.15">
      <c r="A223" s="11">
        <v>44204</v>
      </c>
      <c r="B223" s="7" t="s">
        <v>9</v>
      </c>
      <c r="C223" s="8" t="s">
        <v>10</v>
      </c>
      <c r="D223" s="8" t="s">
        <v>11</v>
      </c>
      <c r="E223" s="9"/>
      <c r="F223" s="14">
        <f t="shared" si="15"/>
        <v>8.6666666666666679</v>
      </c>
      <c r="H223" s="91"/>
    </row>
    <row r="224" spans="1:8" s="5" customFormat="1" ht="12" x14ac:dyDescent="0.15">
      <c r="A224" s="6">
        <v>44205</v>
      </c>
      <c r="B224" s="7" t="s">
        <v>8</v>
      </c>
      <c r="C224" s="8"/>
      <c r="D224" s="8"/>
      <c r="E224" s="9"/>
      <c r="F224" s="14" t="str">
        <f t="shared" si="15"/>
        <v/>
      </c>
      <c r="H224" s="91"/>
    </row>
    <row r="225" spans="1:8" s="5" customFormat="1" ht="12" x14ac:dyDescent="0.15">
      <c r="A225" s="43">
        <v>44206</v>
      </c>
      <c r="B225" s="35" t="s">
        <v>8</v>
      </c>
      <c r="C225" s="28"/>
      <c r="D225" s="8"/>
      <c r="E225" s="9"/>
      <c r="F225" s="14" t="str">
        <f t="shared" si="15"/>
        <v/>
      </c>
      <c r="G225" s="29"/>
      <c r="H225" s="92"/>
    </row>
    <row r="226" spans="1:8" s="5" customFormat="1" ht="12" x14ac:dyDescent="0.15">
      <c r="A226" s="30">
        <v>44207</v>
      </c>
      <c r="B226" s="31" t="s">
        <v>9</v>
      </c>
      <c r="C226" s="32" t="s">
        <v>10</v>
      </c>
      <c r="D226" s="8" t="s">
        <v>11</v>
      </c>
      <c r="E226" s="9"/>
      <c r="F226" s="14">
        <f t="shared" si="15"/>
        <v>8.6666666666666679</v>
      </c>
      <c r="G226" s="33"/>
      <c r="H226" s="90">
        <f t="shared" si="13"/>
        <v>43.333333333333343</v>
      </c>
    </row>
    <row r="227" spans="1:8" s="5" customFormat="1" ht="12" x14ac:dyDescent="0.15">
      <c r="A227" s="11">
        <v>44208</v>
      </c>
      <c r="B227" s="7" t="s">
        <v>9</v>
      </c>
      <c r="C227" s="8" t="s">
        <v>10</v>
      </c>
      <c r="D227" s="8" t="s">
        <v>11</v>
      </c>
      <c r="E227" s="9"/>
      <c r="F227" s="14">
        <f t="shared" si="15"/>
        <v>8.6666666666666679</v>
      </c>
      <c r="H227" s="91"/>
    </row>
    <row r="228" spans="1:8" s="5" customFormat="1" ht="12" x14ac:dyDescent="0.15">
      <c r="A228" s="6">
        <v>44209</v>
      </c>
      <c r="B228" s="7" t="s">
        <v>9</v>
      </c>
      <c r="C228" s="8" t="s">
        <v>10</v>
      </c>
      <c r="D228" s="8" t="s">
        <v>11</v>
      </c>
      <c r="E228" s="9"/>
      <c r="F228" s="14">
        <f t="shared" si="15"/>
        <v>8.6666666666666679</v>
      </c>
      <c r="H228" s="91"/>
    </row>
    <row r="229" spans="1:8" s="5" customFormat="1" ht="12" x14ac:dyDescent="0.15">
      <c r="A229" s="11">
        <v>44210</v>
      </c>
      <c r="B229" s="7" t="s">
        <v>12</v>
      </c>
      <c r="C229" s="8" t="s">
        <v>10</v>
      </c>
      <c r="D229" s="8" t="s">
        <v>11</v>
      </c>
      <c r="E229" s="9"/>
      <c r="F229" s="14">
        <f t="shared" si="15"/>
        <v>8.6666666666666679</v>
      </c>
      <c r="H229" s="91"/>
    </row>
    <row r="230" spans="1:8" s="5" customFormat="1" ht="12" x14ac:dyDescent="0.15">
      <c r="A230" s="6">
        <v>44211</v>
      </c>
      <c r="B230" s="7" t="s">
        <v>9</v>
      </c>
      <c r="C230" s="8" t="s">
        <v>10</v>
      </c>
      <c r="D230" s="8" t="s">
        <v>11</v>
      </c>
      <c r="E230" s="9"/>
      <c r="F230" s="14">
        <f t="shared" si="15"/>
        <v>8.6666666666666679</v>
      </c>
      <c r="H230" s="91"/>
    </row>
    <row r="231" spans="1:8" s="5" customFormat="1" ht="12" x14ac:dyDescent="0.15">
      <c r="A231" s="11">
        <v>44212</v>
      </c>
      <c r="B231" s="7" t="s">
        <v>8</v>
      </c>
      <c r="C231" s="8"/>
      <c r="D231" s="8"/>
      <c r="E231" s="9"/>
      <c r="F231" s="14" t="str">
        <f t="shared" si="15"/>
        <v/>
      </c>
      <c r="H231" s="91"/>
    </row>
    <row r="232" spans="1:8" s="5" customFormat="1" ht="12" x14ac:dyDescent="0.15">
      <c r="A232" s="34">
        <v>44213</v>
      </c>
      <c r="B232" s="35" t="s">
        <v>8</v>
      </c>
      <c r="C232" s="28"/>
      <c r="D232" s="8"/>
      <c r="E232" s="9"/>
      <c r="F232" s="14" t="str">
        <f t="shared" si="15"/>
        <v/>
      </c>
      <c r="G232" s="29"/>
      <c r="H232" s="92"/>
    </row>
    <row r="233" spans="1:8" s="5" customFormat="1" ht="12" x14ac:dyDescent="0.15">
      <c r="A233" s="36">
        <v>44214</v>
      </c>
      <c r="B233" s="31" t="s">
        <v>8</v>
      </c>
      <c r="C233" s="32"/>
      <c r="D233" s="8"/>
      <c r="E233" s="9"/>
      <c r="F233" s="14" t="str">
        <f t="shared" si="15"/>
        <v/>
      </c>
      <c r="G233" s="33"/>
      <c r="H233" s="90">
        <f t="shared" si="14"/>
        <v>17.333333333333336</v>
      </c>
    </row>
    <row r="234" spans="1:8" s="5" customFormat="1" ht="12" x14ac:dyDescent="0.15">
      <c r="A234" s="6">
        <v>44215</v>
      </c>
      <c r="B234" s="7" t="s">
        <v>8</v>
      </c>
      <c r="C234" s="8"/>
      <c r="D234" s="8"/>
      <c r="E234" s="9"/>
      <c r="F234" s="14" t="str">
        <f t="shared" si="15"/>
        <v/>
      </c>
      <c r="H234" s="91"/>
    </row>
    <row r="235" spans="1:8" s="5" customFormat="1" ht="12" x14ac:dyDescent="0.15">
      <c r="A235" s="11">
        <v>44216</v>
      </c>
      <c r="B235" s="7" t="s">
        <v>8</v>
      </c>
      <c r="C235" s="8"/>
      <c r="D235" s="8"/>
      <c r="E235" s="9"/>
      <c r="F235" s="14" t="str">
        <f t="shared" si="15"/>
        <v/>
      </c>
      <c r="H235" s="91"/>
    </row>
    <row r="236" spans="1:8" s="5" customFormat="1" ht="12" x14ac:dyDescent="0.15">
      <c r="A236" s="6">
        <v>44217</v>
      </c>
      <c r="B236" s="7" t="s">
        <v>9</v>
      </c>
      <c r="C236" s="8" t="s">
        <v>10</v>
      </c>
      <c r="D236" s="8" t="s">
        <v>11</v>
      </c>
      <c r="E236" s="9"/>
      <c r="F236" s="14">
        <f t="shared" si="15"/>
        <v>8.6666666666666679</v>
      </c>
      <c r="H236" s="91"/>
    </row>
    <row r="237" spans="1:8" s="5" customFormat="1" ht="12" x14ac:dyDescent="0.15">
      <c r="A237" s="11">
        <v>44218</v>
      </c>
      <c r="B237" s="7" t="s">
        <v>9</v>
      </c>
      <c r="C237" s="8" t="s">
        <v>10</v>
      </c>
      <c r="D237" s="8" t="s">
        <v>11</v>
      </c>
      <c r="E237" s="9"/>
      <c r="F237" s="14">
        <f t="shared" si="15"/>
        <v>8.6666666666666679</v>
      </c>
      <c r="H237" s="91"/>
    </row>
    <row r="238" spans="1:8" s="5" customFormat="1" ht="12" x14ac:dyDescent="0.15">
      <c r="A238" s="6">
        <v>44219</v>
      </c>
      <c r="B238" s="7" t="s">
        <v>8</v>
      </c>
      <c r="C238" s="8"/>
      <c r="D238" s="8"/>
      <c r="E238" s="9"/>
      <c r="F238" s="14" t="str">
        <f t="shared" si="15"/>
        <v/>
      </c>
      <c r="H238" s="91"/>
    </row>
    <row r="239" spans="1:8" s="5" customFormat="1" ht="12" x14ac:dyDescent="0.15">
      <c r="A239" s="43">
        <v>44220</v>
      </c>
      <c r="B239" s="35" t="s">
        <v>8</v>
      </c>
      <c r="C239" s="28"/>
      <c r="D239" s="8"/>
      <c r="E239" s="9"/>
      <c r="F239" s="14" t="str">
        <f t="shared" si="15"/>
        <v/>
      </c>
      <c r="G239" s="29"/>
      <c r="H239" s="92"/>
    </row>
    <row r="240" spans="1:8" s="5" customFormat="1" ht="12" x14ac:dyDescent="0.15">
      <c r="A240" s="30">
        <v>44221</v>
      </c>
      <c r="B240" s="31" t="s">
        <v>9</v>
      </c>
      <c r="C240" s="32" t="s">
        <v>10</v>
      </c>
      <c r="D240" s="8" t="s">
        <v>11</v>
      </c>
      <c r="E240" s="9"/>
      <c r="F240" s="14">
        <f t="shared" si="15"/>
        <v>8.6666666666666679</v>
      </c>
      <c r="G240" s="33"/>
      <c r="H240" s="90">
        <f t="shared" ref="H240" si="17">SUM(F240:F246)</f>
        <v>26.000000000000004</v>
      </c>
    </row>
    <row r="241" spans="1:8" s="5" customFormat="1" ht="12" x14ac:dyDescent="0.15">
      <c r="A241" s="11">
        <v>44222</v>
      </c>
      <c r="B241" s="7" t="s">
        <v>8</v>
      </c>
      <c r="C241" s="8"/>
      <c r="D241" s="8"/>
      <c r="E241" s="9"/>
      <c r="F241" s="14" t="str">
        <f t="shared" si="15"/>
        <v/>
      </c>
      <c r="H241" s="91"/>
    </row>
    <row r="242" spans="1:8" s="5" customFormat="1" ht="12" x14ac:dyDescent="0.15">
      <c r="A242" s="6">
        <v>44223</v>
      </c>
      <c r="B242" s="7" t="s">
        <v>9</v>
      </c>
      <c r="C242" s="8" t="s">
        <v>10</v>
      </c>
      <c r="D242" s="8" t="s">
        <v>11</v>
      </c>
      <c r="E242" s="9"/>
      <c r="F242" s="14">
        <f t="shared" si="15"/>
        <v>8.6666666666666679</v>
      </c>
      <c r="H242" s="91"/>
    </row>
    <row r="243" spans="1:8" s="5" customFormat="1" ht="12" x14ac:dyDescent="0.15">
      <c r="A243" s="11">
        <v>44224</v>
      </c>
      <c r="B243" s="7" t="s">
        <v>9</v>
      </c>
      <c r="C243" s="8" t="s">
        <v>10</v>
      </c>
      <c r="D243" s="8" t="s">
        <v>11</v>
      </c>
      <c r="E243" s="9"/>
      <c r="F243" s="14">
        <f t="shared" si="15"/>
        <v>8.6666666666666679</v>
      </c>
      <c r="H243" s="91"/>
    </row>
    <row r="244" spans="1:8" s="5" customFormat="1" ht="12" x14ac:dyDescent="0.15">
      <c r="A244" s="6">
        <v>44225</v>
      </c>
      <c r="B244" s="7" t="s">
        <v>8</v>
      </c>
      <c r="C244" s="8"/>
      <c r="D244" s="8"/>
      <c r="E244" s="9"/>
      <c r="F244" s="14" t="str">
        <f t="shared" si="15"/>
        <v/>
      </c>
      <c r="H244" s="91"/>
    </row>
    <row r="245" spans="1:8" s="5" customFormat="1" ht="12" x14ac:dyDescent="0.15">
      <c r="A245" s="11">
        <v>44226</v>
      </c>
      <c r="B245" s="7" t="s">
        <v>8</v>
      </c>
      <c r="C245" s="8"/>
      <c r="D245" s="8"/>
      <c r="E245" s="9"/>
      <c r="F245" s="14" t="str">
        <f t="shared" si="15"/>
        <v/>
      </c>
      <c r="H245" s="91"/>
    </row>
    <row r="246" spans="1:8" s="5" customFormat="1" ht="12" x14ac:dyDescent="0.15">
      <c r="A246" s="34">
        <v>44227</v>
      </c>
      <c r="B246" s="35" t="s">
        <v>8</v>
      </c>
      <c r="C246" s="28"/>
      <c r="D246" s="8"/>
      <c r="E246" s="9"/>
      <c r="F246" s="14" t="str">
        <f t="shared" si="15"/>
        <v/>
      </c>
      <c r="G246" s="29"/>
      <c r="H246" s="92"/>
    </row>
    <row r="247" spans="1:8" s="5" customFormat="1" ht="12" x14ac:dyDescent="0.15">
      <c r="A247" s="36">
        <v>44228</v>
      </c>
      <c r="B247" s="31" t="s">
        <v>8</v>
      </c>
      <c r="C247" s="32"/>
      <c r="D247" s="8"/>
      <c r="E247" s="9"/>
      <c r="F247" s="14" t="str">
        <f t="shared" si="15"/>
        <v/>
      </c>
      <c r="G247" s="33"/>
      <c r="H247" s="90">
        <f t="shared" ref="H247" si="18">SUM(F247:F253)</f>
        <v>34.666666666666671</v>
      </c>
    </row>
    <row r="248" spans="1:8" s="5" customFormat="1" ht="12" x14ac:dyDescent="0.15">
      <c r="A248" s="6">
        <v>44229</v>
      </c>
      <c r="B248" s="7" t="s">
        <v>9</v>
      </c>
      <c r="C248" s="8" t="s">
        <v>10</v>
      </c>
      <c r="D248" s="8" t="s">
        <v>11</v>
      </c>
      <c r="E248" s="9"/>
      <c r="F248" s="14">
        <f t="shared" si="15"/>
        <v>8.6666666666666679</v>
      </c>
      <c r="H248" s="91"/>
    </row>
    <row r="249" spans="1:8" s="5" customFormat="1" ht="12" x14ac:dyDescent="0.15">
      <c r="A249" s="11">
        <v>44230</v>
      </c>
      <c r="B249" s="7" t="s">
        <v>9</v>
      </c>
      <c r="C249" s="8" t="s">
        <v>10</v>
      </c>
      <c r="D249" s="8" t="s">
        <v>11</v>
      </c>
      <c r="E249" s="9"/>
      <c r="F249" s="14">
        <f t="shared" si="15"/>
        <v>8.6666666666666679</v>
      </c>
      <c r="H249" s="91"/>
    </row>
    <row r="250" spans="1:8" s="5" customFormat="1" ht="12" x14ac:dyDescent="0.15">
      <c r="A250" s="6">
        <v>44231</v>
      </c>
      <c r="B250" s="7" t="s">
        <v>9</v>
      </c>
      <c r="C250" s="8" t="s">
        <v>10</v>
      </c>
      <c r="D250" s="8" t="s">
        <v>11</v>
      </c>
      <c r="E250" s="9"/>
      <c r="F250" s="14">
        <f t="shared" si="15"/>
        <v>8.6666666666666679</v>
      </c>
      <c r="H250" s="91"/>
    </row>
    <row r="251" spans="1:8" s="5" customFormat="1" ht="12" x14ac:dyDescent="0.15">
      <c r="A251" s="11">
        <v>44232</v>
      </c>
      <c r="B251" s="7" t="s">
        <v>9</v>
      </c>
      <c r="C251" s="8" t="s">
        <v>10</v>
      </c>
      <c r="D251" s="8" t="s">
        <v>11</v>
      </c>
      <c r="E251" s="9"/>
      <c r="F251" s="14">
        <f t="shared" si="15"/>
        <v>8.6666666666666679</v>
      </c>
      <c r="H251" s="91"/>
    </row>
    <row r="252" spans="1:8" s="5" customFormat="1" ht="12" x14ac:dyDescent="0.15">
      <c r="A252" s="6">
        <v>44233</v>
      </c>
      <c r="B252" s="7" t="s">
        <v>8</v>
      </c>
      <c r="C252" s="8"/>
      <c r="D252" s="8"/>
      <c r="E252" s="9"/>
      <c r="F252" s="14" t="str">
        <f t="shared" si="15"/>
        <v/>
      </c>
      <c r="H252" s="91"/>
    </row>
    <row r="253" spans="1:8" s="5" customFormat="1" ht="12" x14ac:dyDescent="0.15">
      <c r="A253" s="43">
        <v>44234</v>
      </c>
      <c r="B253" s="35" t="s">
        <v>8</v>
      </c>
      <c r="C253" s="28"/>
      <c r="D253" s="8"/>
      <c r="E253" s="9"/>
      <c r="F253" s="14" t="str">
        <f t="shared" si="15"/>
        <v/>
      </c>
      <c r="G253" s="29"/>
      <c r="H253" s="92"/>
    </row>
    <row r="254" spans="1:8" s="5" customFormat="1" ht="12" x14ac:dyDescent="0.15">
      <c r="A254" s="30">
        <v>44235</v>
      </c>
      <c r="B254" s="31" t="s">
        <v>8</v>
      </c>
      <c r="C254" s="32"/>
      <c r="D254" s="8"/>
      <c r="E254" s="9"/>
      <c r="F254" s="14" t="str">
        <f t="shared" si="15"/>
        <v/>
      </c>
      <c r="G254" s="33"/>
      <c r="H254" s="90">
        <f t="shared" ref="H254:H268" si="19">SUM(F254:F260)</f>
        <v>26.000000000000004</v>
      </c>
    </row>
    <row r="255" spans="1:8" s="5" customFormat="1" ht="12" x14ac:dyDescent="0.15">
      <c r="A255" s="11">
        <v>44236</v>
      </c>
      <c r="B255" s="7" t="s">
        <v>8</v>
      </c>
      <c r="C255" s="8"/>
      <c r="D255" s="8"/>
      <c r="E255" s="9"/>
      <c r="F255" s="14" t="str">
        <f t="shared" si="15"/>
        <v/>
      </c>
      <c r="H255" s="91"/>
    </row>
    <row r="256" spans="1:8" s="5" customFormat="1" ht="12" x14ac:dyDescent="0.15">
      <c r="A256" s="6">
        <v>44237</v>
      </c>
      <c r="B256" s="7" t="s">
        <v>9</v>
      </c>
      <c r="C256" s="8" t="s">
        <v>10</v>
      </c>
      <c r="D256" s="8" t="s">
        <v>11</v>
      </c>
      <c r="E256" s="9"/>
      <c r="F256" s="14">
        <f t="shared" si="15"/>
        <v>8.6666666666666679</v>
      </c>
      <c r="H256" s="91"/>
    </row>
    <row r="257" spans="1:8" s="5" customFormat="1" ht="12" x14ac:dyDescent="0.15">
      <c r="A257" s="11">
        <v>44238</v>
      </c>
      <c r="B257" s="7" t="s">
        <v>9</v>
      </c>
      <c r="C257" s="8" t="s">
        <v>10</v>
      </c>
      <c r="D257" s="8" t="s">
        <v>11</v>
      </c>
      <c r="E257" s="9"/>
      <c r="F257" s="14">
        <f t="shared" si="15"/>
        <v>8.6666666666666679</v>
      </c>
      <c r="H257" s="91"/>
    </row>
    <row r="258" spans="1:8" s="5" customFormat="1" ht="12" x14ac:dyDescent="0.15">
      <c r="A258" s="6">
        <v>44239</v>
      </c>
      <c r="B258" s="7" t="s">
        <v>9</v>
      </c>
      <c r="C258" s="8" t="s">
        <v>10</v>
      </c>
      <c r="D258" s="8" t="s">
        <v>11</v>
      </c>
      <c r="E258" s="9"/>
      <c r="F258" s="14">
        <f t="shared" si="15"/>
        <v>8.6666666666666679</v>
      </c>
      <c r="H258" s="91"/>
    </row>
    <row r="259" spans="1:8" s="5" customFormat="1" ht="12" x14ac:dyDescent="0.15">
      <c r="A259" s="11">
        <v>44240</v>
      </c>
      <c r="B259" s="7" t="s">
        <v>8</v>
      </c>
      <c r="C259" s="8"/>
      <c r="D259" s="8"/>
      <c r="E259" s="9"/>
      <c r="F259" s="14" t="str">
        <f t="shared" si="15"/>
        <v/>
      </c>
      <c r="H259" s="91"/>
    </row>
    <row r="260" spans="1:8" s="5" customFormat="1" ht="12" x14ac:dyDescent="0.15">
      <c r="A260" s="34">
        <v>44241</v>
      </c>
      <c r="B260" s="35" t="s">
        <v>8</v>
      </c>
      <c r="C260" s="28"/>
      <c r="D260" s="8"/>
      <c r="E260" s="9"/>
      <c r="F260" s="14" t="str">
        <f t="shared" si="15"/>
        <v/>
      </c>
      <c r="G260" s="29"/>
      <c r="H260" s="92"/>
    </row>
    <row r="261" spans="1:8" s="5" customFormat="1" ht="12" x14ac:dyDescent="0.15">
      <c r="A261" s="36">
        <v>44242</v>
      </c>
      <c r="B261" s="31" t="s">
        <v>8</v>
      </c>
      <c r="C261" s="32"/>
      <c r="D261" s="8"/>
      <c r="E261" s="9"/>
      <c r="F261" s="14" t="str">
        <f t="shared" ref="F261:F324" si="20">IF(C261="", "", IF(D261="", "", (D261-C261)*24 - E261))</f>
        <v/>
      </c>
      <c r="G261" s="33"/>
      <c r="H261" s="90">
        <f t="shared" si="19"/>
        <v>34.666666666666671</v>
      </c>
    </row>
    <row r="262" spans="1:8" s="5" customFormat="1" ht="12" x14ac:dyDescent="0.15">
      <c r="A262" s="6">
        <v>44243</v>
      </c>
      <c r="B262" s="7" t="s">
        <v>12</v>
      </c>
      <c r="C262" s="8" t="s">
        <v>10</v>
      </c>
      <c r="D262" s="8" t="s">
        <v>11</v>
      </c>
      <c r="E262" s="9"/>
      <c r="F262" s="14">
        <f t="shared" si="20"/>
        <v>8.6666666666666679</v>
      </c>
      <c r="H262" s="91"/>
    </row>
    <row r="263" spans="1:8" s="5" customFormat="1" ht="12" x14ac:dyDescent="0.15">
      <c r="A263" s="11">
        <v>44244</v>
      </c>
      <c r="B263" s="7" t="s">
        <v>9</v>
      </c>
      <c r="C263" s="8" t="s">
        <v>10</v>
      </c>
      <c r="D263" s="8" t="s">
        <v>11</v>
      </c>
      <c r="E263" s="9"/>
      <c r="F263" s="14">
        <f t="shared" si="20"/>
        <v>8.6666666666666679</v>
      </c>
      <c r="H263" s="91"/>
    </row>
    <row r="264" spans="1:8" s="5" customFormat="1" ht="12" x14ac:dyDescent="0.15">
      <c r="A264" s="6">
        <v>44245</v>
      </c>
      <c r="B264" s="7" t="s">
        <v>9</v>
      </c>
      <c r="C264" s="8" t="s">
        <v>10</v>
      </c>
      <c r="D264" s="8" t="s">
        <v>11</v>
      </c>
      <c r="E264" s="9"/>
      <c r="F264" s="14">
        <f t="shared" si="20"/>
        <v>8.6666666666666679</v>
      </c>
      <c r="H264" s="91"/>
    </row>
    <row r="265" spans="1:8" s="5" customFormat="1" ht="12" x14ac:dyDescent="0.15">
      <c r="A265" s="11">
        <v>44246</v>
      </c>
      <c r="B265" s="7" t="s">
        <v>9</v>
      </c>
      <c r="C265" s="8" t="s">
        <v>10</v>
      </c>
      <c r="D265" s="8" t="s">
        <v>11</v>
      </c>
      <c r="E265" s="9"/>
      <c r="F265" s="14">
        <f t="shared" si="20"/>
        <v>8.6666666666666679</v>
      </c>
      <c r="H265" s="91"/>
    </row>
    <row r="266" spans="1:8" s="5" customFormat="1" ht="12" x14ac:dyDescent="0.15">
      <c r="A266" s="6">
        <v>44247</v>
      </c>
      <c r="B266" s="7" t="s">
        <v>8</v>
      </c>
      <c r="C266" s="8"/>
      <c r="D266" s="8"/>
      <c r="E266" s="9"/>
      <c r="F266" s="14" t="str">
        <f t="shared" si="20"/>
        <v/>
      </c>
      <c r="H266" s="91"/>
    </row>
    <row r="267" spans="1:8" s="5" customFormat="1" ht="12" x14ac:dyDescent="0.15">
      <c r="A267" s="11">
        <v>44248</v>
      </c>
      <c r="B267" s="7" t="s">
        <v>8</v>
      </c>
      <c r="C267" s="8"/>
      <c r="D267" s="8"/>
      <c r="E267" s="9"/>
      <c r="F267" s="14" t="str">
        <f t="shared" si="20"/>
        <v/>
      </c>
      <c r="H267" s="91"/>
    </row>
    <row r="268" spans="1:8" s="5" customFormat="1" ht="12" x14ac:dyDescent="0.15">
      <c r="A268" s="30">
        <v>44249</v>
      </c>
      <c r="B268" s="31" t="s">
        <v>9</v>
      </c>
      <c r="C268" s="32" t="s">
        <v>10</v>
      </c>
      <c r="D268" s="8" t="s">
        <v>11</v>
      </c>
      <c r="E268" s="9"/>
      <c r="F268" s="14">
        <f t="shared" si="20"/>
        <v>8.6666666666666679</v>
      </c>
      <c r="G268" s="33"/>
      <c r="H268" s="90">
        <f t="shared" si="19"/>
        <v>34.666666666666671</v>
      </c>
    </row>
    <row r="269" spans="1:8" s="5" customFormat="1" ht="12" x14ac:dyDescent="0.15">
      <c r="A269" s="11">
        <v>44250</v>
      </c>
      <c r="B269" s="7" t="s">
        <v>12</v>
      </c>
      <c r="C269" s="8" t="s">
        <v>10</v>
      </c>
      <c r="D269" s="8" t="s">
        <v>11</v>
      </c>
      <c r="E269" s="9"/>
      <c r="F269" s="14">
        <f t="shared" si="20"/>
        <v>8.6666666666666679</v>
      </c>
      <c r="H269" s="91"/>
    </row>
    <row r="270" spans="1:8" s="5" customFormat="1" ht="12" x14ac:dyDescent="0.15">
      <c r="A270" s="6">
        <v>44251</v>
      </c>
      <c r="B270" s="7" t="s">
        <v>9</v>
      </c>
      <c r="C270" s="8" t="s">
        <v>10</v>
      </c>
      <c r="D270" s="8" t="s">
        <v>11</v>
      </c>
      <c r="E270" s="9"/>
      <c r="F270" s="14">
        <f t="shared" si="20"/>
        <v>8.6666666666666679</v>
      </c>
      <c r="H270" s="91"/>
    </row>
    <row r="271" spans="1:8" s="5" customFormat="1" ht="12" x14ac:dyDescent="0.15">
      <c r="A271" s="11">
        <v>44252</v>
      </c>
      <c r="B271" s="7" t="s">
        <v>12</v>
      </c>
      <c r="C271" s="8" t="s">
        <v>10</v>
      </c>
      <c r="D271" s="8" t="s">
        <v>11</v>
      </c>
      <c r="E271" s="9"/>
      <c r="F271" s="14">
        <f t="shared" si="20"/>
        <v>8.6666666666666679</v>
      </c>
      <c r="H271" s="91"/>
    </row>
    <row r="272" spans="1:8" s="5" customFormat="1" ht="12" x14ac:dyDescent="0.15">
      <c r="A272" s="6">
        <v>44253</v>
      </c>
      <c r="B272" s="7" t="s">
        <v>8</v>
      </c>
      <c r="C272" s="8"/>
      <c r="D272" s="8"/>
      <c r="E272" s="9"/>
      <c r="F272" s="14" t="str">
        <f t="shared" si="20"/>
        <v/>
      </c>
      <c r="H272" s="91"/>
    </row>
    <row r="273" spans="1:8" s="5" customFormat="1" ht="12" x14ac:dyDescent="0.15">
      <c r="A273" s="11">
        <v>44254</v>
      </c>
      <c r="B273" s="7" t="s">
        <v>8</v>
      </c>
      <c r="C273" s="8"/>
      <c r="D273" s="8"/>
      <c r="E273" s="9"/>
      <c r="F273" s="14" t="str">
        <f t="shared" si="20"/>
        <v/>
      </c>
      <c r="H273" s="91"/>
    </row>
    <row r="274" spans="1:8" s="5" customFormat="1" ht="12" x14ac:dyDescent="0.15">
      <c r="A274" s="34">
        <v>44255</v>
      </c>
      <c r="B274" s="35" t="s">
        <v>8</v>
      </c>
      <c r="C274" s="28"/>
      <c r="D274" s="8"/>
      <c r="E274" s="9"/>
      <c r="F274" s="14" t="str">
        <f t="shared" si="20"/>
        <v/>
      </c>
      <c r="G274" s="29"/>
      <c r="H274" s="92"/>
    </row>
    <row r="275" spans="1:8" s="5" customFormat="1" ht="12" x14ac:dyDescent="0.15">
      <c r="A275" s="36">
        <v>44256</v>
      </c>
      <c r="B275" s="31" t="s">
        <v>12</v>
      </c>
      <c r="C275" s="32" t="s">
        <v>10</v>
      </c>
      <c r="D275" s="8" t="s">
        <v>11</v>
      </c>
      <c r="E275" s="9"/>
      <c r="F275" s="14">
        <f t="shared" si="20"/>
        <v>8.6666666666666679</v>
      </c>
      <c r="G275" s="33"/>
      <c r="H275" s="90">
        <f t="shared" ref="H275:H282" si="21">SUM(F275:F281)</f>
        <v>34.666666666666671</v>
      </c>
    </row>
    <row r="276" spans="1:8" s="5" customFormat="1" ht="12" x14ac:dyDescent="0.15">
      <c r="A276" s="6">
        <v>44257</v>
      </c>
      <c r="B276" s="7" t="s">
        <v>12</v>
      </c>
      <c r="C276" s="8" t="s">
        <v>10</v>
      </c>
      <c r="D276" s="8" t="s">
        <v>11</v>
      </c>
      <c r="E276" s="9"/>
      <c r="F276" s="14">
        <f t="shared" si="20"/>
        <v>8.6666666666666679</v>
      </c>
      <c r="H276" s="91"/>
    </row>
    <row r="277" spans="1:8" s="5" customFormat="1" ht="12" x14ac:dyDescent="0.15">
      <c r="A277" s="11">
        <v>44258</v>
      </c>
      <c r="B277" s="7" t="s">
        <v>9</v>
      </c>
      <c r="C277" s="8" t="s">
        <v>10</v>
      </c>
      <c r="D277" s="8" t="s">
        <v>11</v>
      </c>
      <c r="E277" s="9"/>
      <c r="F277" s="14">
        <f t="shared" si="20"/>
        <v>8.6666666666666679</v>
      </c>
      <c r="H277" s="91"/>
    </row>
    <row r="278" spans="1:8" s="5" customFormat="1" ht="12" x14ac:dyDescent="0.15">
      <c r="A278" s="6">
        <v>44259</v>
      </c>
      <c r="B278" s="7" t="s">
        <v>9</v>
      </c>
      <c r="C278" s="8" t="s">
        <v>10</v>
      </c>
      <c r="D278" s="8" t="s">
        <v>11</v>
      </c>
      <c r="E278" s="9"/>
      <c r="F278" s="14">
        <f t="shared" si="20"/>
        <v>8.6666666666666679</v>
      </c>
      <c r="H278" s="91"/>
    </row>
    <row r="279" spans="1:8" s="5" customFormat="1" ht="12" x14ac:dyDescent="0.15">
      <c r="A279" s="11">
        <v>44260</v>
      </c>
      <c r="B279" s="7" t="s">
        <v>8</v>
      </c>
      <c r="C279" s="8"/>
      <c r="D279" s="8"/>
      <c r="E279" s="9"/>
      <c r="F279" s="14" t="str">
        <f t="shared" si="20"/>
        <v/>
      </c>
      <c r="H279" s="91"/>
    </row>
    <row r="280" spans="1:8" s="5" customFormat="1" ht="12" x14ac:dyDescent="0.15">
      <c r="A280" s="6">
        <v>44261</v>
      </c>
      <c r="B280" s="7" t="s">
        <v>8</v>
      </c>
      <c r="C280" s="8"/>
      <c r="D280" s="8"/>
      <c r="E280" s="9"/>
      <c r="F280" s="14" t="str">
        <f t="shared" si="20"/>
        <v/>
      </c>
      <c r="H280" s="91"/>
    </row>
    <row r="281" spans="1:8" s="5" customFormat="1" ht="12" x14ac:dyDescent="0.15">
      <c r="A281" s="43">
        <v>44262</v>
      </c>
      <c r="B281" s="35" t="s">
        <v>8</v>
      </c>
      <c r="C281" s="28"/>
      <c r="D281" s="8"/>
      <c r="E281" s="9"/>
      <c r="F281" s="14" t="str">
        <f t="shared" si="20"/>
        <v/>
      </c>
      <c r="G281" s="29"/>
      <c r="H281" s="92"/>
    </row>
    <row r="282" spans="1:8" s="5" customFormat="1" ht="12" x14ac:dyDescent="0.15">
      <c r="A282" s="30">
        <v>44263</v>
      </c>
      <c r="B282" s="31" t="s">
        <v>9</v>
      </c>
      <c r="C282" s="32" t="s">
        <v>10</v>
      </c>
      <c r="D282" s="8" t="s">
        <v>11</v>
      </c>
      <c r="E282" s="9"/>
      <c r="F282" s="14">
        <f t="shared" si="20"/>
        <v>8.6666666666666679</v>
      </c>
      <c r="G282" s="33"/>
      <c r="H282" s="90">
        <f t="shared" si="21"/>
        <v>43.333333333333343</v>
      </c>
    </row>
    <row r="283" spans="1:8" s="5" customFormat="1" ht="12" x14ac:dyDescent="0.15">
      <c r="A283" s="11">
        <v>44264</v>
      </c>
      <c r="B283" s="7" t="s">
        <v>12</v>
      </c>
      <c r="C283" s="8" t="s">
        <v>10</v>
      </c>
      <c r="D283" s="8" t="s">
        <v>11</v>
      </c>
      <c r="E283" s="9"/>
      <c r="F283" s="14">
        <f t="shared" si="20"/>
        <v>8.6666666666666679</v>
      </c>
      <c r="H283" s="91"/>
    </row>
    <row r="284" spans="1:8" s="5" customFormat="1" ht="12" x14ac:dyDescent="0.15">
      <c r="A284" s="6">
        <v>44265</v>
      </c>
      <c r="B284" s="7" t="s">
        <v>12</v>
      </c>
      <c r="C284" s="8" t="s">
        <v>10</v>
      </c>
      <c r="D284" s="8" t="s">
        <v>11</v>
      </c>
      <c r="E284" s="9"/>
      <c r="F284" s="14">
        <f t="shared" si="20"/>
        <v>8.6666666666666679</v>
      </c>
      <c r="H284" s="91"/>
    </row>
    <row r="285" spans="1:8" s="5" customFormat="1" ht="12" x14ac:dyDescent="0.15">
      <c r="A285" s="11">
        <v>44266</v>
      </c>
      <c r="B285" s="7" t="s">
        <v>9</v>
      </c>
      <c r="C285" s="8" t="s">
        <v>10</v>
      </c>
      <c r="D285" s="8" t="s">
        <v>11</v>
      </c>
      <c r="E285" s="9"/>
      <c r="F285" s="14">
        <f t="shared" si="20"/>
        <v>8.6666666666666679</v>
      </c>
      <c r="H285" s="91"/>
    </row>
    <row r="286" spans="1:8" s="5" customFormat="1" ht="12" x14ac:dyDescent="0.15">
      <c r="A286" s="6">
        <v>44267</v>
      </c>
      <c r="B286" s="7" t="s">
        <v>9</v>
      </c>
      <c r="C286" s="8" t="s">
        <v>10</v>
      </c>
      <c r="D286" s="8" t="s">
        <v>11</v>
      </c>
      <c r="E286" s="9"/>
      <c r="F286" s="14">
        <f t="shared" si="20"/>
        <v>8.6666666666666679</v>
      </c>
      <c r="H286" s="91"/>
    </row>
    <row r="287" spans="1:8" s="5" customFormat="1" ht="12" x14ac:dyDescent="0.15">
      <c r="A287" s="11">
        <v>44268</v>
      </c>
      <c r="B287" s="7" t="s">
        <v>8</v>
      </c>
      <c r="C287" s="8"/>
      <c r="D287" s="8"/>
      <c r="E287" s="9"/>
      <c r="F287" s="14" t="str">
        <f t="shared" si="20"/>
        <v/>
      </c>
      <c r="H287" s="91"/>
    </row>
    <row r="288" spans="1:8" s="5" customFormat="1" ht="12" x14ac:dyDescent="0.15">
      <c r="A288" s="34">
        <v>44269</v>
      </c>
      <c r="B288" s="35" t="s">
        <v>8</v>
      </c>
      <c r="C288" s="28"/>
      <c r="D288" s="8"/>
      <c r="E288" s="9"/>
      <c r="F288" s="14" t="str">
        <f t="shared" si="20"/>
        <v/>
      </c>
      <c r="G288" s="29"/>
      <c r="H288" s="92"/>
    </row>
    <row r="289" spans="1:8" s="5" customFormat="1" ht="12" x14ac:dyDescent="0.15">
      <c r="A289" s="36">
        <v>44270</v>
      </c>
      <c r="B289" s="31" t="s">
        <v>8</v>
      </c>
      <c r="C289" s="32"/>
      <c r="D289" s="8"/>
      <c r="E289" s="9"/>
      <c r="F289" s="14" t="str">
        <f t="shared" si="20"/>
        <v/>
      </c>
      <c r="G289" s="33"/>
      <c r="H289" s="90">
        <f t="shared" ref="H289" si="22">SUM(F289:F295)</f>
        <v>34.666666666666671</v>
      </c>
    </row>
    <row r="290" spans="1:8" s="5" customFormat="1" ht="12" x14ac:dyDescent="0.15">
      <c r="A290" s="6">
        <v>44271</v>
      </c>
      <c r="B290" s="7" t="s">
        <v>12</v>
      </c>
      <c r="C290" s="8" t="s">
        <v>10</v>
      </c>
      <c r="D290" s="8" t="s">
        <v>11</v>
      </c>
      <c r="E290" s="9"/>
      <c r="F290" s="14">
        <f t="shared" si="20"/>
        <v>8.6666666666666679</v>
      </c>
      <c r="H290" s="91"/>
    </row>
    <row r="291" spans="1:8" s="5" customFormat="1" ht="12" x14ac:dyDescent="0.15">
      <c r="A291" s="11">
        <v>44272</v>
      </c>
      <c r="B291" s="7" t="s">
        <v>12</v>
      </c>
      <c r="C291" s="8" t="s">
        <v>10</v>
      </c>
      <c r="D291" s="8" t="s">
        <v>11</v>
      </c>
      <c r="E291" s="9"/>
      <c r="F291" s="14">
        <f t="shared" si="20"/>
        <v>8.6666666666666679</v>
      </c>
      <c r="H291" s="91"/>
    </row>
    <row r="292" spans="1:8" s="5" customFormat="1" ht="12" x14ac:dyDescent="0.15">
      <c r="A292" s="6">
        <v>44273</v>
      </c>
      <c r="B292" s="7" t="s">
        <v>9</v>
      </c>
      <c r="C292" s="8" t="s">
        <v>10</v>
      </c>
      <c r="D292" s="8" t="s">
        <v>11</v>
      </c>
      <c r="E292" s="9"/>
      <c r="F292" s="14">
        <f t="shared" si="20"/>
        <v>8.6666666666666679</v>
      </c>
      <c r="H292" s="91"/>
    </row>
    <row r="293" spans="1:8" s="5" customFormat="1" ht="12" x14ac:dyDescent="0.15">
      <c r="A293" s="11">
        <v>44274</v>
      </c>
      <c r="B293" s="7" t="s">
        <v>9</v>
      </c>
      <c r="C293" s="8" t="s">
        <v>10</v>
      </c>
      <c r="D293" s="8" t="s">
        <v>11</v>
      </c>
      <c r="E293" s="9"/>
      <c r="F293" s="14">
        <f t="shared" si="20"/>
        <v>8.6666666666666679</v>
      </c>
      <c r="H293" s="91"/>
    </row>
    <row r="294" spans="1:8" s="5" customFormat="1" ht="12" x14ac:dyDescent="0.15">
      <c r="A294" s="6">
        <v>44275</v>
      </c>
      <c r="B294" s="7" t="s">
        <v>8</v>
      </c>
      <c r="C294" s="8"/>
      <c r="D294" s="8"/>
      <c r="E294" s="9"/>
      <c r="F294" s="14" t="str">
        <f t="shared" si="20"/>
        <v/>
      </c>
      <c r="H294" s="91"/>
    </row>
    <row r="295" spans="1:8" s="5" customFormat="1" ht="12" x14ac:dyDescent="0.15">
      <c r="A295" s="43">
        <v>44276</v>
      </c>
      <c r="B295" s="35" t="s">
        <v>8</v>
      </c>
      <c r="C295" s="28"/>
      <c r="D295" s="8"/>
      <c r="E295" s="9"/>
      <c r="F295" s="14" t="str">
        <f t="shared" si="20"/>
        <v/>
      </c>
      <c r="G295" s="29"/>
      <c r="H295" s="92"/>
    </row>
    <row r="296" spans="1:8" s="5" customFormat="1" ht="12" x14ac:dyDescent="0.15">
      <c r="A296" s="30">
        <v>44277</v>
      </c>
      <c r="B296" s="31" t="s">
        <v>9</v>
      </c>
      <c r="C296" s="32" t="s">
        <v>10</v>
      </c>
      <c r="D296" s="8" t="s">
        <v>11</v>
      </c>
      <c r="E296" s="9"/>
      <c r="F296" s="14">
        <f t="shared" si="20"/>
        <v>8.6666666666666679</v>
      </c>
      <c r="G296" s="33"/>
      <c r="H296" s="90">
        <f t="shared" ref="H296" si="23">SUM(F296:F302)</f>
        <v>43.333333333333343</v>
      </c>
    </row>
    <row r="297" spans="1:8" s="5" customFormat="1" ht="12" x14ac:dyDescent="0.15">
      <c r="A297" s="11">
        <v>44278</v>
      </c>
      <c r="B297" s="7" t="s">
        <v>9</v>
      </c>
      <c r="C297" s="8" t="s">
        <v>10</v>
      </c>
      <c r="D297" s="8" t="s">
        <v>11</v>
      </c>
      <c r="E297" s="9"/>
      <c r="F297" s="14">
        <f t="shared" si="20"/>
        <v>8.6666666666666679</v>
      </c>
      <c r="H297" s="91"/>
    </row>
    <row r="298" spans="1:8" s="5" customFormat="1" ht="12" x14ac:dyDescent="0.15">
      <c r="A298" s="6">
        <v>44279</v>
      </c>
      <c r="B298" s="7" t="s">
        <v>9</v>
      </c>
      <c r="C298" s="8" t="s">
        <v>10</v>
      </c>
      <c r="D298" s="8" t="s">
        <v>11</v>
      </c>
      <c r="E298" s="9"/>
      <c r="F298" s="14">
        <f t="shared" si="20"/>
        <v>8.6666666666666679</v>
      </c>
      <c r="H298" s="91"/>
    </row>
    <row r="299" spans="1:8" s="5" customFormat="1" ht="12" x14ac:dyDescent="0.15">
      <c r="A299" s="11">
        <v>44280</v>
      </c>
      <c r="B299" s="7" t="s">
        <v>12</v>
      </c>
      <c r="C299" s="8" t="s">
        <v>10</v>
      </c>
      <c r="D299" s="8" t="s">
        <v>11</v>
      </c>
      <c r="E299" s="9"/>
      <c r="F299" s="14">
        <f t="shared" si="20"/>
        <v>8.6666666666666679</v>
      </c>
      <c r="H299" s="91"/>
    </row>
    <row r="300" spans="1:8" s="5" customFormat="1" ht="12" x14ac:dyDescent="0.15">
      <c r="A300" s="6">
        <v>44281</v>
      </c>
      <c r="B300" s="7" t="s">
        <v>9</v>
      </c>
      <c r="C300" s="8" t="s">
        <v>10</v>
      </c>
      <c r="D300" s="8" t="s">
        <v>11</v>
      </c>
      <c r="E300" s="9"/>
      <c r="F300" s="14">
        <f t="shared" si="20"/>
        <v>8.6666666666666679</v>
      </c>
      <c r="H300" s="91"/>
    </row>
    <row r="301" spans="1:8" s="5" customFormat="1" ht="12" x14ac:dyDescent="0.15">
      <c r="A301" s="11">
        <v>44282</v>
      </c>
      <c r="B301" s="7" t="s">
        <v>8</v>
      </c>
      <c r="C301" s="8"/>
      <c r="D301" s="8"/>
      <c r="E301" s="9"/>
      <c r="F301" s="14" t="str">
        <f t="shared" si="20"/>
        <v/>
      </c>
      <c r="H301" s="91"/>
    </row>
    <row r="302" spans="1:8" s="5" customFormat="1" ht="12" x14ac:dyDescent="0.15">
      <c r="A302" s="34">
        <v>44283</v>
      </c>
      <c r="B302" s="35" t="s">
        <v>8</v>
      </c>
      <c r="C302" s="28"/>
      <c r="D302" s="8"/>
      <c r="E302" s="9"/>
      <c r="F302" s="14" t="str">
        <f t="shared" si="20"/>
        <v/>
      </c>
      <c r="G302" s="29"/>
      <c r="H302" s="92"/>
    </row>
    <row r="303" spans="1:8" s="5" customFormat="1" ht="12" x14ac:dyDescent="0.15">
      <c r="A303" s="36">
        <v>44284</v>
      </c>
      <c r="B303" s="31" t="s">
        <v>8</v>
      </c>
      <c r="C303" s="32"/>
      <c r="D303" s="8"/>
      <c r="E303" s="9"/>
      <c r="F303" s="14" t="str">
        <f t="shared" si="20"/>
        <v/>
      </c>
      <c r="G303" s="33"/>
      <c r="H303" s="90">
        <f t="shared" ref="H303" si="24">SUM(F303:F309)</f>
        <v>0</v>
      </c>
    </row>
    <row r="304" spans="1:8" s="5" customFormat="1" ht="12" x14ac:dyDescent="0.15">
      <c r="A304" s="6">
        <v>44285</v>
      </c>
      <c r="B304" s="7" t="s">
        <v>8</v>
      </c>
      <c r="C304" s="8"/>
      <c r="D304" s="8"/>
      <c r="E304" s="9"/>
      <c r="F304" s="14" t="str">
        <f t="shared" si="20"/>
        <v/>
      </c>
      <c r="H304" s="91"/>
    </row>
    <row r="305" spans="1:8" s="5" customFormat="1" ht="12" x14ac:dyDescent="0.15">
      <c r="A305" s="11">
        <v>44286</v>
      </c>
      <c r="B305" s="7" t="s">
        <v>8</v>
      </c>
      <c r="C305" s="8"/>
      <c r="D305" s="8"/>
      <c r="E305" s="9"/>
      <c r="F305" s="14" t="str">
        <f t="shared" si="20"/>
        <v/>
      </c>
      <c r="H305" s="91"/>
    </row>
    <row r="306" spans="1:8" s="5" customFormat="1" ht="12" x14ac:dyDescent="0.15">
      <c r="A306" s="6">
        <v>44287</v>
      </c>
      <c r="B306" s="7" t="s">
        <v>8</v>
      </c>
      <c r="C306" s="8"/>
      <c r="D306" s="8"/>
      <c r="E306" s="9"/>
      <c r="F306" s="14" t="str">
        <f t="shared" si="20"/>
        <v/>
      </c>
      <c r="H306" s="91"/>
    </row>
    <row r="307" spans="1:8" s="5" customFormat="1" ht="12" x14ac:dyDescent="0.15">
      <c r="A307" s="11">
        <v>44288</v>
      </c>
      <c r="B307" s="7" t="s">
        <v>8</v>
      </c>
      <c r="C307" s="8"/>
      <c r="D307" s="8"/>
      <c r="E307" s="9"/>
      <c r="F307" s="14" t="str">
        <f t="shared" si="20"/>
        <v/>
      </c>
      <c r="H307" s="91"/>
    </row>
    <row r="308" spans="1:8" s="5" customFormat="1" ht="12" x14ac:dyDescent="0.15">
      <c r="A308" s="6">
        <v>44289</v>
      </c>
      <c r="B308" s="7" t="s">
        <v>8</v>
      </c>
      <c r="C308" s="8"/>
      <c r="D308" s="8"/>
      <c r="E308" s="9"/>
      <c r="F308" s="14" t="str">
        <f t="shared" si="20"/>
        <v/>
      </c>
      <c r="H308" s="91"/>
    </row>
    <row r="309" spans="1:8" s="5" customFormat="1" ht="12" x14ac:dyDescent="0.15">
      <c r="A309" s="43">
        <v>44290</v>
      </c>
      <c r="B309" s="35" t="s">
        <v>8</v>
      </c>
      <c r="C309" s="28"/>
      <c r="D309" s="8"/>
      <c r="E309" s="9"/>
      <c r="F309" s="14" t="str">
        <f t="shared" si="20"/>
        <v/>
      </c>
      <c r="G309" s="29"/>
      <c r="H309" s="92"/>
    </row>
    <row r="310" spans="1:8" s="5" customFormat="1" ht="12" x14ac:dyDescent="0.15">
      <c r="A310" s="30">
        <v>44291</v>
      </c>
      <c r="B310" s="31" t="s">
        <v>8</v>
      </c>
      <c r="C310" s="32"/>
      <c r="D310" s="8"/>
      <c r="E310" s="9"/>
      <c r="F310" s="14" t="str">
        <f t="shared" si="20"/>
        <v/>
      </c>
      <c r="G310" s="33"/>
      <c r="H310" s="90">
        <f t="shared" ref="H310" si="25">SUM(F310:F316)</f>
        <v>34.666666666666671</v>
      </c>
    </row>
    <row r="311" spans="1:8" s="5" customFormat="1" ht="12" x14ac:dyDescent="0.15">
      <c r="A311" s="11">
        <v>44292</v>
      </c>
      <c r="B311" s="7" t="s">
        <v>9</v>
      </c>
      <c r="C311" s="8" t="s">
        <v>10</v>
      </c>
      <c r="D311" s="8" t="s">
        <v>11</v>
      </c>
      <c r="E311" s="9"/>
      <c r="F311" s="14">
        <f t="shared" si="20"/>
        <v>8.6666666666666679</v>
      </c>
      <c r="H311" s="91"/>
    </row>
    <row r="312" spans="1:8" s="5" customFormat="1" ht="12" x14ac:dyDescent="0.15">
      <c r="A312" s="6">
        <v>44293</v>
      </c>
      <c r="B312" s="7" t="s">
        <v>9</v>
      </c>
      <c r="C312" s="8" t="s">
        <v>10</v>
      </c>
      <c r="D312" s="8" t="s">
        <v>11</v>
      </c>
      <c r="E312" s="9"/>
      <c r="F312" s="14">
        <f t="shared" si="20"/>
        <v>8.6666666666666679</v>
      </c>
      <c r="H312" s="91"/>
    </row>
    <row r="313" spans="1:8" s="5" customFormat="1" ht="12" x14ac:dyDescent="0.15">
      <c r="A313" s="11">
        <v>44294</v>
      </c>
      <c r="B313" s="7" t="s">
        <v>9</v>
      </c>
      <c r="C313" s="8" t="s">
        <v>10</v>
      </c>
      <c r="D313" s="8" t="s">
        <v>11</v>
      </c>
      <c r="E313" s="9"/>
      <c r="F313" s="14">
        <f t="shared" si="20"/>
        <v>8.6666666666666679</v>
      </c>
      <c r="H313" s="91"/>
    </row>
    <row r="314" spans="1:8" s="5" customFormat="1" ht="12" x14ac:dyDescent="0.15">
      <c r="A314" s="6">
        <v>44295</v>
      </c>
      <c r="B314" s="7" t="s">
        <v>9</v>
      </c>
      <c r="C314" s="8" t="s">
        <v>10</v>
      </c>
      <c r="D314" s="8" t="s">
        <v>11</v>
      </c>
      <c r="E314" s="9"/>
      <c r="F314" s="14">
        <f t="shared" si="20"/>
        <v>8.6666666666666679</v>
      </c>
      <c r="H314" s="91"/>
    </row>
    <row r="315" spans="1:8" s="5" customFormat="1" ht="12" x14ac:dyDescent="0.15">
      <c r="A315" s="11">
        <v>44296</v>
      </c>
      <c r="B315" s="7" t="s">
        <v>8</v>
      </c>
      <c r="C315" s="8"/>
      <c r="D315" s="8"/>
      <c r="E315" s="9"/>
      <c r="F315" s="14" t="str">
        <f t="shared" si="20"/>
        <v/>
      </c>
      <c r="H315" s="91"/>
    </row>
    <row r="316" spans="1:8" s="5" customFormat="1" ht="12" x14ac:dyDescent="0.15">
      <c r="A316" s="34">
        <v>44297</v>
      </c>
      <c r="B316" s="35" t="s">
        <v>8</v>
      </c>
      <c r="C316" s="28"/>
      <c r="D316" s="8"/>
      <c r="E316" s="9"/>
      <c r="F316" s="14" t="str">
        <f t="shared" si="20"/>
        <v/>
      </c>
      <c r="G316" s="29"/>
      <c r="H316" s="92"/>
    </row>
    <row r="317" spans="1:8" s="5" customFormat="1" ht="12" x14ac:dyDescent="0.15">
      <c r="A317" s="36">
        <v>44298</v>
      </c>
      <c r="B317" s="31" t="s">
        <v>8</v>
      </c>
      <c r="C317" s="32"/>
      <c r="D317" s="8"/>
      <c r="E317" s="9"/>
      <c r="F317" s="14" t="str">
        <f t="shared" si="20"/>
        <v/>
      </c>
      <c r="G317" s="33"/>
      <c r="H317" s="90">
        <f t="shared" ref="H317" si="26">SUM(F317:F323)</f>
        <v>34.666666666666671</v>
      </c>
    </row>
    <row r="318" spans="1:8" s="5" customFormat="1" ht="12" x14ac:dyDescent="0.15">
      <c r="A318" s="6">
        <v>44299</v>
      </c>
      <c r="B318" s="7" t="s">
        <v>12</v>
      </c>
      <c r="C318" s="8" t="s">
        <v>10</v>
      </c>
      <c r="D318" s="8" t="s">
        <v>11</v>
      </c>
      <c r="E318" s="9"/>
      <c r="F318" s="14">
        <f t="shared" si="20"/>
        <v>8.6666666666666679</v>
      </c>
      <c r="H318" s="91"/>
    </row>
    <row r="319" spans="1:8" s="5" customFormat="1" ht="12" x14ac:dyDescent="0.15">
      <c r="A319" s="11">
        <v>44300</v>
      </c>
      <c r="B319" s="7" t="s">
        <v>12</v>
      </c>
      <c r="C319" s="8" t="s">
        <v>10</v>
      </c>
      <c r="D319" s="8" t="s">
        <v>11</v>
      </c>
      <c r="E319" s="9"/>
      <c r="F319" s="14">
        <f t="shared" si="20"/>
        <v>8.6666666666666679</v>
      </c>
      <c r="H319" s="91"/>
    </row>
    <row r="320" spans="1:8" s="5" customFormat="1" ht="12" x14ac:dyDescent="0.15">
      <c r="A320" s="6">
        <v>44301</v>
      </c>
      <c r="B320" s="7" t="s">
        <v>9</v>
      </c>
      <c r="C320" s="8" t="s">
        <v>10</v>
      </c>
      <c r="D320" s="8" t="s">
        <v>11</v>
      </c>
      <c r="E320" s="9"/>
      <c r="F320" s="14">
        <f t="shared" si="20"/>
        <v>8.6666666666666679</v>
      </c>
      <c r="H320" s="91"/>
    </row>
    <row r="321" spans="1:8" s="5" customFormat="1" ht="12" x14ac:dyDescent="0.15">
      <c r="A321" s="11">
        <v>44302</v>
      </c>
      <c r="B321" s="7" t="s">
        <v>9</v>
      </c>
      <c r="C321" s="8" t="s">
        <v>10</v>
      </c>
      <c r="D321" s="8" t="s">
        <v>11</v>
      </c>
      <c r="E321" s="9"/>
      <c r="F321" s="14">
        <f t="shared" si="20"/>
        <v>8.6666666666666679</v>
      </c>
      <c r="H321" s="91"/>
    </row>
    <row r="322" spans="1:8" s="5" customFormat="1" ht="12" x14ac:dyDescent="0.15">
      <c r="A322" s="6">
        <v>44303</v>
      </c>
      <c r="B322" s="7" t="s">
        <v>8</v>
      </c>
      <c r="C322" s="8"/>
      <c r="D322" s="8"/>
      <c r="E322" s="9"/>
      <c r="F322" s="14" t="str">
        <f t="shared" si="20"/>
        <v/>
      </c>
      <c r="H322" s="91"/>
    </row>
    <row r="323" spans="1:8" s="5" customFormat="1" ht="12" x14ac:dyDescent="0.15">
      <c r="A323" s="43">
        <v>44304</v>
      </c>
      <c r="B323" s="35" t="s">
        <v>8</v>
      </c>
      <c r="C323" s="28"/>
      <c r="D323" s="8"/>
      <c r="E323" s="9"/>
      <c r="F323" s="14" t="str">
        <f t="shared" si="20"/>
        <v/>
      </c>
      <c r="G323" s="29"/>
      <c r="H323" s="92"/>
    </row>
    <row r="324" spans="1:8" s="5" customFormat="1" ht="12" x14ac:dyDescent="0.15">
      <c r="A324" s="30">
        <v>44305</v>
      </c>
      <c r="B324" s="31" t="s">
        <v>8</v>
      </c>
      <c r="C324" s="32"/>
      <c r="D324" s="8"/>
      <c r="E324" s="9"/>
      <c r="F324" s="14" t="str">
        <f t="shared" si="20"/>
        <v/>
      </c>
      <c r="G324" s="33"/>
      <c r="H324" s="90">
        <f t="shared" ref="H324:H338" si="27">SUM(F324:F330)</f>
        <v>26.000000000000004</v>
      </c>
    </row>
    <row r="325" spans="1:8" s="5" customFormat="1" ht="12" x14ac:dyDescent="0.15">
      <c r="A325" s="11">
        <v>44306</v>
      </c>
      <c r="B325" s="7" t="s">
        <v>9</v>
      </c>
      <c r="C325" s="8" t="s">
        <v>10</v>
      </c>
      <c r="D325" s="8" t="s">
        <v>11</v>
      </c>
      <c r="E325" s="9"/>
      <c r="F325" s="14">
        <f t="shared" ref="F325:F388" si="28">IF(C325="", "", IF(D325="", "", (D325-C325)*24 - E325))</f>
        <v>8.6666666666666679</v>
      </c>
      <c r="H325" s="91"/>
    </row>
    <row r="326" spans="1:8" s="5" customFormat="1" ht="12" x14ac:dyDescent="0.15">
      <c r="A326" s="6">
        <v>44307</v>
      </c>
      <c r="B326" s="7" t="s">
        <v>12</v>
      </c>
      <c r="C326" s="8" t="s">
        <v>10</v>
      </c>
      <c r="D326" s="8" t="s">
        <v>11</v>
      </c>
      <c r="E326" s="9"/>
      <c r="F326" s="14">
        <f t="shared" si="28"/>
        <v>8.6666666666666679</v>
      </c>
      <c r="H326" s="91"/>
    </row>
    <row r="327" spans="1:8" s="5" customFormat="1" ht="12" x14ac:dyDescent="0.15">
      <c r="A327" s="11">
        <v>44308</v>
      </c>
      <c r="B327" s="7" t="s">
        <v>8</v>
      </c>
      <c r="C327" s="8"/>
      <c r="D327" s="8"/>
      <c r="E327" s="9"/>
      <c r="F327" s="14" t="str">
        <f t="shared" si="28"/>
        <v/>
      </c>
      <c r="H327" s="91"/>
    </row>
    <row r="328" spans="1:8" s="5" customFormat="1" ht="12" x14ac:dyDescent="0.15">
      <c r="A328" s="6">
        <v>44309</v>
      </c>
      <c r="B328" s="7" t="s">
        <v>9</v>
      </c>
      <c r="C328" s="8" t="s">
        <v>10</v>
      </c>
      <c r="D328" s="8" t="s">
        <v>11</v>
      </c>
      <c r="E328" s="9"/>
      <c r="F328" s="14">
        <f t="shared" si="28"/>
        <v>8.6666666666666679</v>
      </c>
      <c r="H328" s="91"/>
    </row>
    <row r="329" spans="1:8" s="5" customFormat="1" ht="12" x14ac:dyDescent="0.15">
      <c r="A329" s="11">
        <v>44310</v>
      </c>
      <c r="B329" s="7" t="s">
        <v>8</v>
      </c>
      <c r="C329" s="8"/>
      <c r="D329" s="8"/>
      <c r="E329" s="9"/>
      <c r="F329" s="14" t="str">
        <f t="shared" si="28"/>
        <v/>
      </c>
      <c r="H329" s="91"/>
    </row>
    <row r="330" spans="1:8" s="5" customFormat="1" ht="12" x14ac:dyDescent="0.15">
      <c r="A330" s="34">
        <v>44311</v>
      </c>
      <c r="B330" s="35" t="s">
        <v>8</v>
      </c>
      <c r="C330" s="28"/>
      <c r="D330" s="8"/>
      <c r="E330" s="9"/>
      <c r="F330" s="14" t="str">
        <f t="shared" si="28"/>
        <v/>
      </c>
      <c r="G330" s="29"/>
      <c r="H330" s="92"/>
    </row>
    <row r="331" spans="1:8" s="5" customFormat="1" ht="12" x14ac:dyDescent="0.15">
      <c r="A331" s="36">
        <v>44312</v>
      </c>
      <c r="B331" s="31" t="s">
        <v>8</v>
      </c>
      <c r="C331" s="32"/>
      <c r="D331" s="8"/>
      <c r="E331" s="9"/>
      <c r="F331" s="14" t="str">
        <f t="shared" si="28"/>
        <v/>
      </c>
      <c r="G331" s="33"/>
      <c r="H331" s="90">
        <f t="shared" ref="H331:H345" si="29">SUM(F331:F337)</f>
        <v>26.000000000000004</v>
      </c>
    </row>
    <row r="332" spans="1:8" s="5" customFormat="1" ht="12" x14ac:dyDescent="0.15">
      <c r="A332" s="6">
        <v>44313</v>
      </c>
      <c r="B332" s="7" t="s">
        <v>8</v>
      </c>
      <c r="C332" s="8"/>
      <c r="D332" s="8"/>
      <c r="E332" s="9"/>
      <c r="F332" s="14" t="str">
        <f t="shared" si="28"/>
        <v/>
      </c>
      <c r="H332" s="91"/>
    </row>
    <row r="333" spans="1:8" s="5" customFormat="1" ht="12" x14ac:dyDescent="0.15">
      <c r="A333" s="11">
        <v>44314</v>
      </c>
      <c r="B333" s="7" t="s">
        <v>12</v>
      </c>
      <c r="C333" s="8" t="s">
        <v>10</v>
      </c>
      <c r="D333" s="8" t="s">
        <v>11</v>
      </c>
      <c r="E333" s="9"/>
      <c r="F333" s="14">
        <f t="shared" si="28"/>
        <v>8.6666666666666679</v>
      </c>
      <c r="H333" s="91"/>
    </row>
    <row r="334" spans="1:8" s="5" customFormat="1" ht="12" x14ac:dyDescent="0.15">
      <c r="A334" s="6">
        <v>44315</v>
      </c>
      <c r="B334" s="7" t="s">
        <v>12</v>
      </c>
      <c r="C334" s="8" t="s">
        <v>10</v>
      </c>
      <c r="D334" s="8" t="s">
        <v>11</v>
      </c>
      <c r="E334" s="9"/>
      <c r="F334" s="14">
        <f t="shared" si="28"/>
        <v>8.6666666666666679</v>
      </c>
      <c r="H334" s="91"/>
    </row>
    <row r="335" spans="1:8" s="5" customFormat="1" ht="12" x14ac:dyDescent="0.15">
      <c r="A335" s="11">
        <v>44316</v>
      </c>
      <c r="B335" s="7" t="s">
        <v>9</v>
      </c>
      <c r="C335" s="8" t="s">
        <v>10</v>
      </c>
      <c r="D335" s="8" t="s">
        <v>11</v>
      </c>
      <c r="E335" s="9"/>
      <c r="F335" s="14">
        <f t="shared" si="28"/>
        <v>8.6666666666666679</v>
      </c>
      <c r="H335" s="91"/>
    </row>
    <row r="336" spans="1:8" s="5" customFormat="1" ht="12" x14ac:dyDescent="0.15">
      <c r="A336" s="6">
        <v>44317</v>
      </c>
      <c r="B336" s="7" t="s">
        <v>8</v>
      </c>
      <c r="C336" s="8"/>
      <c r="D336" s="8"/>
      <c r="E336" s="9"/>
      <c r="F336" s="14" t="str">
        <f t="shared" si="28"/>
        <v/>
      </c>
      <c r="H336" s="91"/>
    </row>
    <row r="337" spans="1:8" s="5" customFormat="1" ht="12" x14ac:dyDescent="0.15">
      <c r="A337" s="43">
        <v>44318</v>
      </c>
      <c r="B337" s="35" t="s">
        <v>8</v>
      </c>
      <c r="C337" s="28"/>
      <c r="D337" s="8"/>
      <c r="E337" s="9"/>
      <c r="F337" s="14" t="str">
        <f t="shared" si="28"/>
        <v/>
      </c>
      <c r="G337" s="29"/>
      <c r="H337" s="92"/>
    </row>
    <row r="338" spans="1:8" s="5" customFormat="1" ht="12" x14ac:dyDescent="0.15">
      <c r="A338" s="23">
        <v>44319</v>
      </c>
      <c r="B338" s="24" t="s">
        <v>8</v>
      </c>
      <c r="C338" s="8"/>
      <c r="D338" s="8"/>
      <c r="E338" s="9"/>
      <c r="F338" s="14" t="str">
        <f t="shared" si="28"/>
        <v/>
      </c>
      <c r="H338" s="91">
        <f t="shared" si="27"/>
        <v>34.666666666666671</v>
      </c>
    </row>
    <row r="339" spans="1:8" s="5" customFormat="1" ht="12" x14ac:dyDescent="0.15">
      <c r="A339" s="11">
        <v>44320</v>
      </c>
      <c r="B339" s="7" t="s">
        <v>12</v>
      </c>
      <c r="C339" s="8" t="s">
        <v>10</v>
      </c>
      <c r="D339" s="8" t="s">
        <v>11</v>
      </c>
      <c r="E339" s="9"/>
      <c r="F339" s="14">
        <f t="shared" si="28"/>
        <v>8.6666666666666679</v>
      </c>
      <c r="H339" s="91"/>
    </row>
    <row r="340" spans="1:8" s="5" customFormat="1" ht="12" x14ac:dyDescent="0.15">
      <c r="A340" s="6">
        <v>44321</v>
      </c>
      <c r="B340" s="7" t="s">
        <v>12</v>
      </c>
      <c r="C340" s="8" t="s">
        <v>10</v>
      </c>
      <c r="D340" s="8" t="s">
        <v>11</v>
      </c>
      <c r="E340" s="9"/>
      <c r="F340" s="14">
        <f t="shared" si="28"/>
        <v>8.6666666666666679</v>
      </c>
      <c r="H340" s="91"/>
    </row>
    <row r="341" spans="1:8" s="5" customFormat="1" ht="12" x14ac:dyDescent="0.15">
      <c r="A341" s="11">
        <v>44322</v>
      </c>
      <c r="B341" s="7" t="s">
        <v>9</v>
      </c>
      <c r="C341" s="8" t="s">
        <v>10</v>
      </c>
      <c r="D341" s="8" t="s">
        <v>11</v>
      </c>
      <c r="E341" s="9"/>
      <c r="F341" s="14">
        <f t="shared" si="28"/>
        <v>8.6666666666666679</v>
      </c>
      <c r="H341" s="91"/>
    </row>
    <row r="342" spans="1:8" s="5" customFormat="1" ht="12" x14ac:dyDescent="0.15">
      <c r="A342" s="6">
        <v>44323</v>
      </c>
      <c r="B342" s="7" t="s">
        <v>9</v>
      </c>
      <c r="C342" s="8" t="s">
        <v>10</v>
      </c>
      <c r="D342" s="8" t="s">
        <v>11</v>
      </c>
      <c r="E342" s="9"/>
      <c r="F342" s="14">
        <f t="shared" si="28"/>
        <v>8.6666666666666679</v>
      </c>
      <c r="H342" s="91"/>
    </row>
    <row r="343" spans="1:8" s="5" customFormat="1" ht="12" x14ac:dyDescent="0.15">
      <c r="A343" s="11">
        <v>44324</v>
      </c>
      <c r="B343" s="7" t="s">
        <v>8</v>
      </c>
      <c r="C343" s="8"/>
      <c r="D343" s="8"/>
      <c r="E343" s="9"/>
      <c r="F343" s="14" t="str">
        <f t="shared" si="28"/>
        <v/>
      </c>
      <c r="H343" s="91"/>
    </row>
    <row r="344" spans="1:8" s="5" customFormat="1" ht="12" x14ac:dyDescent="0.15">
      <c r="A344" s="34">
        <v>44325</v>
      </c>
      <c r="B344" s="35" t="s">
        <v>8</v>
      </c>
      <c r="C344" s="28"/>
      <c r="D344" s="8"/>
      <c r="E344" s="9"/>
      <c r="F344" s="14" t="str">
        <f t="shared" si="28"/>
        <v/>
      </c>
      <c r="G344" s="29"/>
      <c r="H344" s="92"/>
    </row>
    <row r="345" spans="1:8" s="5" customFormat="1" ht="12" x14ac:dyDescent="0.15">
      <c r="A345" s="36">
        <v>44326</v>
      </c>
      <c r="B345" s="31" t="s">
        <v>8</v>
      </c>
      <c r="C345" s="32"/>
      <c r="D345" s="8"/>
      <c r="E345" s="9"/>
      <c r="F345" s="14" t="str">
        <f t="shared" si="28"/>
        <v/>
      </c>
      <c r="G345" s="33"/>
      <c r="H345" s="90">
        <f t="shared" si="29"/>
        <v>34.666666666666671</v>
      </c>
    </row>
    <row r="346" spans="1:8" s="5" customFormat="1" ht="12" x14ac:dyDescent="0.15">
      <c r="A346" s="6">
        <v>44327</v>
      </c>
      <c r="B346" s="7" t="s">
        <v>9</v>
      </c>
      <c r="C346" s="8" t="s">
        <v>10</v>
      </c>
      <c r="D346" s="8" t="s">
        <v>11</v>
      </c>
      <c r="E346" s="9"/>
      <c r="F346" s="14">
        <f t="shared" si="28"/>
        <v>8.6666666666666679</v>
      </c>
      <c r="H346" s="91"/>
    </row>
    <row r="347" spans="1:8" s="5" customFormat="1" ht="12" x14ac:dyDescent="0.15">
      <c r="A347" s="11">
        <v>44328</v>
      </c>
      <c r="B347" s="7" t="s">
        <v>9</v>
      </c>
      <c r="C347" s="8" t="s">
        <v>10</v>
      </c>
      <c r="D347" s="8" t="s">
        <v>11</v>
      </c>
      <c r="E347" s="9"/>
      <c r="F347" s="14">
        <f t="shared" si="28"/>
        <v>8.6666666666666679</v>
      </c>
      <c r="H347" s="91"/>
    </row>
    <row r="348" spans="1:8" s="5" customFormat="1" ht="12" x14ac:dyDescent="0.15">
      <c r="A348" s="6">
        <v>44329</v>
      </c>
      <c r="B348" s="7" t="s">
        <v>12</v>
      </c>
      <c r="C348" s="8" t="s">
        <v>10</v>
      </c>
      <c r="D348" s="8" t="s">
        <v>11</v>
      </c>
      <c r="E348" s="9"/>
      <c r="F348" s="14">
        <f t="shared" si="28"/>
        <v>8.6666666666666679</v>
      </c>
      <c r="H348" s="91"/>
    </row>
    <row r="349" spans="1:8" s="5" customFormat="1" ht="12" x14ac:dyDescent="0.15">
      <c r="A349" s="11">
        <v>44330</v>
      </c>
      <c r="B349" s="7" t="s">
        <v>12</v>
      </c>
      <c r="C349" s="8" t="s">
        <v>10</v>
      </c>
      <c r="D349" s="8" t="s">
        <v>11</v>
      </c>
      <c r="E349" s="9"/>
      <c r="F349" s="14">
        <f t="shared" si="28"/>
        <v>8.6666666666666679</v>
      </c>
      <c r="H349" s="91"/>
    </row>
    <row r="350" spans="1:8" s="5" customFormat="1" ht="12" x14ac:dyDescent="0.15">
      <c r="A350" s="6">
        <v>44331</v>
      </c>
      <c r="B350" s="7" t="s">
        <v>8</v>
      </c>
      <c r="C350" s="8"/>
      <c r="D350" s="8"/>
      <c r="E350" s="9"/>
      <c r="F350" s="14" t="str">
        <f t="shared" si="28"/>
        <v/>
      </c>
      <c r="H350" s="91"/>
    </row>
    <row r="351" spans="1:8" s="5" customFormat="1" ht="12" x14ac:dyDescent="0.15">
      <c r="A351" s="43">
        <v>44332</v>
      </c>
      <c r="B351" s="35" t="s">
        <v>8</v>
      </c>
      <c r="C351" s="28"/>
      <c r="D351" s="8"/>
      <c r="E351" s="9"/>
      <c r="F351" s="14" t="str">
        <f t="shared" si="28"/>
        <v/>
      </c>
      <c r="G351" s="29"/>
      <c r="H351" s="92"/>
    </row>
    <row r="352" spans="1:8" s="5" customFormat="1" ht="12" x14ac:dyDescent="0.15">
      <c r="A352" s="30">
        <v>44333</v>
      </c>
      <c r="B352" s="31" t="s">
        <v>8</v>
      </c>
      <c r="C352" s="32"/>
      <c r="D352" s="8"/>
      <c r="E352" s="9"/>
      <c r="F352" s="14" t="str">
        <f t="shared" si="28"/>
        <v/>
      </c>
      <c r="G352" s="33"/>
      <c r="H352" s="90">
        <f t="shared" ref="H352:H373" si="30">SUM(F352:F358)</f>
        <v>34.666666666666671</v>
      </c>
    </row>
    <row r="353" spans="1:8" s="5" customFormat="1" ht="12" x14ac:dyDescent="0.15">
      <c r="A353" s="11">
        <v>44334</v>
      </c>
      <c r="B353" s="7" t="s">
        <v>9</v>
      </c>
      <c r="C353" s="8" t="s">
        <v>10</v>
      </c>
      <c r="D353" s="8" t="s">
        <v>11</v>
      </c>
      <c r="E353" s="9"/>
      <c r="F353" s="14">
        <f t="shared" si="28"/>
        <v>8.6666666666666679</v>
      </c>
      <c r="H353" s="91"/>
    </row>
    <row r="354" spans="1:8" s="5" customFormat="1" ht="12" x14ac:dyDescent="0.15">
      <c r="A354" s="6">
        <v>44335</v>
      </c>
      <c r="B354" s="7" t="s">
        <v>9</v>
      </c>
      <c r="C354" s="8" t="s">
        <v>10</v>
      </c>
      <c r="D354" s="8" t="s">
        <v>11</v>
      </c>
      <c r="E354" s="9"/>
      <c r="F354" s="14">
        <f t="shared" si="28"/>
        <v>8.6666666666666679</v>
      </c>
      <c r="H354" s="91"/>
    </row>
    <row r="355" spans="1:8" s="5" customFormat="1" ht="12" x14ac:dyDescent="0.15">
      <c r="A355" s="11">
        <v>44336</v>
      </c>
      <c r="B355" s="7" t="s">
        <v>12</v>
      </c>
      <c r="C355" s="8" t="s">
        <v>10</v>
      </c>
      <c r="D355" s="8" t="s">
        <v>11</v>
      </c>
      <c r="E355" s="9"/>
      <c r="F355" s="14">
        <f t="shared" si="28"/>
        <v>8.6666666666666679</v>
      </c>
      <c r="H355" s="91"/>
    </row>
    <row r="356" spans="1:8" s="5" customFormat="1" ht="12" x14ac:dyDescent="0.15">
      <c r="A356" s="6">
        <v>44337</v>
      </c>
      <c r="B356" s="7" t="s">
        <v>12</v>
      </c>
      <c r="C356" s="8" t="s">
        <v>10</v>
      </c>
      <c r="D356" s="8" t="s">
        <v>11</v>
      </c>
      <c r="E356" s="9"/>
      <c r="F356" s="14">
        <f t="shared" si="28"/>
        <v>8.6666666666666679</v>
      </c>
      <c r="H356" s="91"/>
    </row>
    <row r="357" spans="1:8" s="5" customFormat="1" ht="12" x14ac:dyDescent="0.15">
      <c r="A357" s="11">
        <v>44338</v>
      </c>
      <c r="B357" s="7" t="s">
        <v>8</v>
      </c>
      <c r="C357" s="8"/>
      <c r="D357" s="8"/>
      <c r="E357" s="9"/>
      <c r="F357" s="14" t="str">
        <f t="shared" si="28"/>
        <v/>
      </c>
      <c r="H357" s="91"/>
    </row>
    <row r="358" spans="1:8" s="5" customFormat="1" ht="12" x14ac:dyDescent="0.15">
      <c r="A358" s="34">
        <v>44339</v>
      </c>
      <c r="B358" s="35" t="s">
        <v>8</v>
      </c>
      <c r="C358" s="28"/>
      <c r="D358" s="8"/>
      <c r="E358" s="9"/>
      <c r="F358" s="14" t="str">
        <f t="shared" si="28"/>
        <v/>
      </c>
      <c r="G358" s="29"/>
      <c r="H358" s="92"/>
    </row>
    <row r="359" spans="1:8" s="5" customFormat="1" ht="12" x14ac:dyDescent="0.15">
      <c r="A359" s="36">
        <v>44340</v>
      </c>
      <c r="B359" s="31" t="s">
        <v>8</v>
      </c>
      <c r="C359" s="32"/>
      <c r="D359" s="8"/>
      <c r="E359" s="9"/>
      <c r="F359" s="14" t="str">
        <f t="shared" si="28"/>
        <v/>
      </c>
      <c r="G359" s="33"/>
      <c r="H359" s="90">
        <f t="shared" si="30"/>
        <v>34.666666666666671</v>
      </c>
    </row>
    <row r="360" spans="1:8" s="5" customFormat="1" ht="12" x14ac:dyDescent="0.15">
      <c r="A360" s="6">
        <v>44341</v>
      </c>
      <c r="B360" s="7" t="s">
        <v>9</v>
      </c>
      <c r="C360" s="8" t="s">
        <v>10</v>
      </c>
      <c r="D360" s="8" t="s">
        <v>11</v>
      </c>
      <c r="E360" s="9"/>
      <c r="F360" s="14">
        <f t="shared" si="28"/>
        <v>8.6666666666666679</v>
      </c>
      <c r="H360" s="91"/>
    </row>
    <row r="361" spans="1:8" s="5" customFormat="1" ht="12" x14ac:dyDescent="0.15">
      <c r="A361" s="11">
        <v>44342</v>
      </c>
      <c r="B361" s="7" t="s">
        <v>9</v>
      </c>
      <c r="C361" s="8" t="s">
        <v>10</v>
      </c>
      <c r="D361" s="8" t="s">
        <v>11</v>
      </c>
      <c r="E361" s="9"/>
      <c r="F361" s="14">
        <f t="shared" si="28"/>
        <v>8.6666666666666679</v>
      </c>
      <c r="H361" s="91"/>
    </row>
    <row r="362" spans="1:8" s="5" customFormat="1" ht="12" x14ac:dyDescent="0.15">
      <c r="A362" s="6">
        <v>44343</v>
      </c>
      <c r="B362" s="7" t="s">
        <v>12</v>
      </c>
      <c r="C362" s="8" t="s">
        <v>10</v>
      </c>
      <c r="D362" s="8" t="s">
        <v>11</v>
      </c>
      <c r="E362" s="9"/>
      <c r="F362" s="14">
        <f t="shared" si="28"/>
        <v>8.6666666666666679</v>
      </c>
      <c r="H362" s="91"/>
    </row>
    <row r="363" spans="1:8" s="5" customFormat="1" ht="12" x14ac:dyDescent="0.15">
      <c r="A363" s="11">
        <v>44344</v>
      </c>
      <c r="B363" s="7" t="s">
        <v>12</v>
      </c>
      <c r="C363" s="8" t="s">
        <v>10</v>
      </c>
      <c r="D363" s="8" t="s">
        <v>11</v>
      </c>
      <c r="E363" s="9"/>
      <c r="F363" s="14">
        <f t="shared" si="28"/>
        <v>8.6666666666666679</v>
      </c>
      <c r="H363" s="91"/>
    </row>
    <row r="364" spans="1:8" s="5" customFormat="1" ht="12" x14ac:dyDescent="0.15">
      <c r="A364" s="6">
        <v>44345</v>
      </c>
      <c r="B364" s="7" t="s">
        <v>8</v>
      </c>
      <c r="C364" s="8"/>
      <c r="D364" s="8"/>
      <c r="E364" s="9"/>
      <c r="F364" s="14" t="str">
        <f t="shared" si="28"/>
        <v/>
      </c>
      <c r="H364" s="91"/>
    </row>
    <row r="365" spans="1:8" s="5" customFormat="1" ht="12" x14ac:dyDescent="0.15">
      <c r="A365" s="43">
        <v>44346</v>
      </c>
      <c r="B365" s="35" t="s">
        <v>8</v>
      </c>
      <c r="C365" s="28"/>
      <c r="D365" s="8"/>
      <c r="E365" s="9"/>
      <c r="F365" s="14" t="str">
        <f t="shared" si="28"/>
        <v/>
      </c>
      <c r="G365" s="29"/>
      <c r="H365" s="92"/>
    </row>
    <row r="366" spans="1:8" s="5" customFormat="1" ht="12" x14ac:dyDescent="0.15">
      <c r="A366" s="30">
        <v>44347</v>
      </c>
      <c r="B366" s="31" t="s">
        <v>8</v>
      </c>
      <c r="C366" s="32"/>
      <c r="D366" s="8"/>
      <c r="E366" s="9"/>
      <c r="F366" s="14" t="str">
        <f t="shared" si="28"/>
        <v/>
      </c>
      <c r="G366" s="33"/>
      <c r="H366" s="90">
        <f t="shared" si="30"/>
        <v>34.666666666666671</v>
      </c>
    </row>
    <row r="367" spans="1:8" s="5" customFormat="1" ht="12" x14ac:dyDescent="0.15">
      <c r="A367" s="11">
        <v>44348</v>
      </c>
      <c r="B367" s="7" t="s">
        <v>12</v>
      </c>
      <c r="C367" s="8" t="s">
        <v>10</v>
      </c>
      <c r="D367" s="8" t="s">
        <v>11</v>
      </c>
      <c r="E367" s="9"/>
      <c r="F367" s="14">
        <f t="shared" si="28"/>
        <v>8.6666666666666679</v>
      </c>
      <c r="H367" s="91"/>
    </row>
    <row r="368" spans="1:8" s="5" customFormat="1" ht="12" x14ac:dyDescent="0.15">
      <c r="A368" s="6">
        <v>44349</v>
      </c>
      <c r="B368" s="7" t="s">
        <v>12</v>
      </c>
      <c r="C368" s="8" t="s">
        <v>10</v>
      </c>
      <c r="D368" s="8" t="s">
        <v>11</v>
      </c>
      <c r="E368" s="9"/>
      <c r="F368" s="14">
        <f t="shared" si="28"/>
        <v>8.6666666666666679</v>
      </c>
      <c r="H368" s="91"/>
    </row>
    <row r="369" spans="1:8" s="5" customFormat="1" ht="12" x14ac:dyDescent="0.15">
      <c r="A369" s="11">
        <v>44350</v>
      </c>
      <c r="B369" s="7" t="s">
        <v>9</v>
      </c>
      <c r="C369" s="8" t="s">
        <v>10</v>
      </c>
      <c r="D369" s="8" t="s">
        <v>11</v>
      </c>
      <c r="E369" s="9"/>
      <c r="F369" s="14">
        <f t="shared" si="28"/>
        <v>8.6666666666666679</v>
      </c>
      <c r="H369" s="91"/>
    </row>
    <row r="370" spans="1:8" s="5" customFormat="1" ht="12" x14ac:dyDescent="0.15">
      <c r="A370" s="6">
        <v>44351</v>
      </c>
      <c r="B370" s="7" t="s">
        <v>9</v>
      </c>
      <c r="C370" s="8" t="s">
        <v>10</v>
      </c>
      <c r="D370" s="8" t="s">
        <v>11</v>
      </c>
      <c r="E370" s="9"/>
      <c r="F370" s="14">
        <f t="shared" si="28"/>
        <v>8.6666666666666679</v>
      </c>
      <c r="H370" s="91"/>
    </row>
    <row r="371" spans="1:8" s="5" customFormat="1" ht="12" x14ac:dyDescent="0.15">
      <c r="A371" s="11">
        <v>44352</v>
      </c>
      <c r="B371" s="7" t="s">
        <v>8</v>
      </c>
      <c r="C371" s="8"/>
      <c r="D371" s="8"/>
      <c r="E371" s="9"/>
      <c r="F371" s="14" t="str">
        <f t="shared" si="28"/>
        <v/>
      </c>
      <c r="H371" s="91"/>
    </row>
    <row r="372" spans="1:8" s="5" customFormat="1" ht="12" x14ac:dyDescent="0.15">
      <c r="A372" s="34">
        <v>44353</v>
      </c>
      <c r="B372" s="35" t="s">
        <v>8</v>
      </c>
      <c r="C372" s="28"/>
      <c r="D372" s="8"/>
      <c r="E372" s="9"/>
      <c r="F372" s="14" t="str">
        <f t="shared" si="28"/>
        <v/>
      </c>
      <c r="G372" s="29"/>
      <c r="H372" s="92"/>
    </row>
    <row r="373" spans="1:8" s="5" customFormat="1" ht="12" x14ac:dyDescent="0.15">
      <c r="A373" s="36">
        <v>44354</v>
      </c>
      <c r="B373" s="31" t="s">
        <v>8</v>
      </c>
      <c r="C373" s="32"/>
      <c r="D373" s="8"/>
      <c r="E373" s="9"/>
      <c r="F373" s="14" t="str">
        <f t="shared" si="28"/>
        <v/>
      </c>
      <c r="G373" s="33"/>
      <c r="H373" s="90">
        <f t="shared" si="30"/>
        <v>34.666666666666671</v>
      </c>
    </row>
    <row r="374" spans="1:8" s="5" customFormat="1" ht="12" x14ac:dyDescent="0.15">
      <c r="A374" s="6">
        <v>44355</v>
      </c>
      <c r="B374" s="7" t="s">
        <v>9</v>
      </c>
      <c r="C374" s="8" t="s">
        <v>10</v>
      </c>
      <c r="D374" s="8" t="s">
        <v>11</v>
      </c>
      <c r="E374" s="9"/>
      <c r="F374" s="14">
        <f t="shared" si="28"/>
        <v>8.6666666666666679</v>
      </c>
      <c r="H374" s="91"/>
    </row>
    <row r="375" spans="1:8" s="5" customFormat="1" ht="12" x14ac:dyDescent="0.15">
      <c r="A375" s="11">
        <v>44356</v>
      </c>
      <c r="B375" s="7" t="s">
        <v>9</v>
      </c>
      <c r="C375" s="8" t="s">
        <v>10</v>
      </c>
      <c r="D375" s="8" t="s">
        <v>11</v>
      </c>
      <c r="E375" s="9"/>
      <c r="F375" s="14">
        <f t="shared" si="28"/>
        <v>8.6666666666666679</v>
      </c>
      <c r="H375" s="91"/>
    </row>
    <row r="376" spans="1:8" s="5" customFormat="1" ht="12" x14ac:dyDescent="0.15">
      <c r="A376" s="6">
        <v>44357</v>
      </c>
      <c r="B376" s="7" t="s">
        <v>12</v>
      </c>
      <c r="C376" s="8" t="s">
        <v>10</v>
      </c>
      <c r="D376" s="8" t="s">
        <v>11</v>
      </c>
      <c r="E376" s="9"/>
      <c r="F376" s="14">
        <f t="shared" si="28"/>
        <v>8.6666666666666679</v>
      </c>
      <c r="H376" s="91"/>
    </row>
    <row r="377" spans="1:8" s="5" customFormat="1" ht="12" x14ac:dyDescent="0.15">
      <c r="A377" s="11">
        <v>44358</v>
      </c>
      <c r="B377" s="7" t="s">
        <v>9</v>
      </c>
      <c r="C377" s="8" t="s">
        <v>10</v>
      </c>
      <c r="D377" s="8" t="s">
        <v>11</v>
      </c>
      <c r="E377" s="9"/>
      <c r="F377" s="14">
        <f t="shared" si="28"/>
        <v>8.6666666666666679</v>
      </c>
      <c r="H377" s="91"/>
    </row>
    <row r="378" spans="1:8" s="5" customFormat="1" ht="12" x14ac:dyDescent="0.15">
      <c r="A378" s="6">
        <v>44359</v>
      </c>
      <c r="B378" s="7" t="s">
        <v>8</v>
      </c>
      <c r="C378" s="8"/>
      <c r="D378" s="8"/>
      <c r="E378" s="9"/>
      <c r="F378" s="14" t="str">
        <f t="shared" si="28"/>
        <v/>
      </c>
      <c r="H378" s="91"/>
    </row>
    <row r="379" spans="1:8" s="5" customFormat="1" ht="12" x14ac:dyDescent="0.15">
      <c r="A379" s="43">
        <v>44360</v>
      </c>
      <c r="B379" s="35" t="s">
        <v>8</v>
      </c>
      <c r="C379" s="28"/>
      <c r="D379" s="8"/>
      <c r="E379" s="9"/>
      <c r="F379" s="14" t="str">
        <f t="shared" si="28"/>
        <v/>
      </c>
      <c r="G379" s="29"/>
      <c r="H379" s="92"/>
    </row>
    <row r="380" spans="1:8" s="5" customFormat="1" ht="12" x14ac:dyDescent="0.15">
      <c r="A380" s="30">
        <v>44361</v>
      </c>
      <c r="B380" s="31" t="s">
        <v>8</v>
      </c>
      <c r="C380" s="32"/>
      <c r="D380" s="8"/>
      <c r="E380" s="9"/>
      <c r="F380" s="14" t="str">
        <f t="shared" si="28"/>
        <v/>
      </c>
      <c r="G380" s="33"/>
      <c r="H380" s="90">
        <f t="shared" ref="H380" si="31">SUM(F380:F386)</f>
        <v>34.666666666666671</v>
      </c>
    </row>
    <row r="381" spans="1:8" s="5" customFormat="1" ht="12" x14ac:dyDescent="0.15">
      <c r="A381" s="11">
        <v>44362</v>
      </c>
      <c r="B381" s="7" t="s">
        <v>9</v>
      </c>
      <c r="C381" s="8" t="s">
        <v>10</v>
      </c>
      <c r="D381" s="8" t="s">
        <v>11</v>
      </c>
      <c r="E381" s="9"/>
      <c r="F381" s="14">
        <f t="shared" si="28"/>
        <v>8.6666666666666679</v>
      </c>
      <c r="H381" s="91"/>
    </row>
    <row r="382" spans="1:8" s="5" customFormat="1" ht="12" x14ac:dyDescent="0.15">
      <c r="A382" s="6">
        <v>44363</v>
      </c>
      <c r="B382" s="7" t="s">
        <v>9</v>
      </c>
      <c r="C382" s="8" t="s">
        <v>10</v>
      </c>
      <c r="D382" s="8" t="s">
        <v>11</v>
      </c>
      <c r="E382" s="9"/>
      <c r="F382" s="14">
        <f t="shared" si="28"/>
        <v>8.6666666666666679</v>
      </c>
      <c r="H382" s="91"/>
    </row>
    <row r="383" spans="1:8" s="5" customFormat="1" ht="12" x14ac:dyDescent="0.15">
      <c r="A383" s="11">
        <v>44364</v>
      </c>
      <c r="B383" s="7" t="s">
        <v>12</v>
      </c>
      <c r="C383" s="8" t="s">
        <v>10</v>
      </c>
      <c r="D383" s="8" t="s">
        <v>11</v>
      </c>
      <c r="E383" s="9"/>
      <c r="F383" s="14">
        <f t="shared" si="28"/>
        <v>8.6666666666666679</v>
      </c>
      <c r="H383" s="91"/>
    </row>
    <row r="384" spans="1:8" s="5" customFormat="1" ht="12" x14ac:dyDescent="0.15">
      <c r="A384" s="6">
        <v>44365</v>
      </c>
      <c r="B384" s="7" t="s">
        <v>12</v>
      </c>
      <c r="C384" s="8" t="s">
        <v>10</v>
      </c>
      <c r="D384" s="8" t="s">
        <v>11</v>
      </c>
      <c r="E384" s="9"/>
      <c r="F384" s="14">
        <f t="shared" si="28"/>
        <v>8.6666666666666679</v>
      </c>
      <c r="H384" s="91"/>
    </row>
    <row r="385" spans="1:8" s="5" customFormat="1" ht="12" x14ac:dyDescent="0.15">
      <c r="A385" s="11">
        <v>44366</v>
      </c>
      <c r="B385" s="7" t="s">
        <v>8</v>
      </c>
      <c r="C385" s="8"/>
      <c r="D385" s="8"/>
      <c r="E385" s="9"/>
      <c r="F385" s="14" t="str">
        <f t="shared" si="28"/>
        <v/>
      </c>
      <c r="H385" s="91"/>
    </row>
    <row r="386" spans="1:8" s="5" customFormat="1" ht="12" x14ac:dyDescent="0.15">
      <c r="A386" s="6">
        <v>44367</v>
      </c>
      <c r="B386" s="7" t="s">
        <v>8</v>
      </c>
      <c r="C386" s="8"/>
      <c r="D386" s="8"/>
      <c r="E386" s="9"/>
      <c r="F386" s="14" t="str">
        <f t="shared" si="28"/>
        <v/>
      </c>
      <c r="H386" s="91"/>
    </row>
    <row r="387" spans="1:8" s="5" customFormat="1" ht="12" x14ac:dyDescent="0.15">
      <c r="A387" s="36">
        <v>44368</v>
      </c>
      <c r="B387" s="31" t="s">
        <v>8</v>
      </c>
      <c r="C387" s="32"/>
      <c r="D387" s="8"/>
      <c r="E387" s="9"/>
      <c r="F387" s="14" t="str">
        <f t="shared" si="28"/>
        <v/>
      </c>
      <c r="G387" s="33"/>
      <c r="H387" s="90">
        <f t="shared" ref="H387" si="32">SUM(F387:F393)</f>
        <v>34.666666666666671</v>
      </c>
    </row>
    <row r="388" spans="1:8" s="5" customFormat="1" ht="12" x14ac:dyDescent="0.15">
      <c r="A388" s="6">
        <v>44369</v>
      </c>
      <c r="B388" s="7" t="s">
        <v>12</v>
      </c>
      <c r="C388" s="8" t="s">
        <v>10</v>
      </c>
      <c r="D388" s="8" t="s">
        <v>11</v>
      </c>
      <c r="E388" s="9"/>
      <c r="F388" s="14">
        <f t="shared" si="28"/>
        <v>8.6666666666666679</v>
      </c>
      <c r="H388" s="91"/>
    </row>
    <row r="389" spans="1:8" s="5" customFormat="1" ht="12" x14ac:dyDescent="0.15">
      <c r="A389" s="11">
        <v>44370</v>
      </c>
      <c r="B389" s="7" t="s">
        <v>12</v>
      </c>
      <c r="C389" s="8" t="s">
        <v>10</v>
      </c>
      <c r="D389" s="8" t="s">
        <v>11</v>
      </c>
      <c r="E389" s="9"/>
      <c r="F389" s="14">
        <f t="shared" ref="F389:F452" si="33">IF(C389="", "", IF(D389="", "", (D389-C389)*24 - E389))</f>
        <v>8.6666666666666679</v>
      </c>
      <c r="H389" s="91"/>
    </row>
    <row r="390" spans="1:8" s="5" customFormat="1" ht="12" x14ac:dyDescent="0.15">
      <c r="A390" s="6">
        <v>44371</v>
      </c>
      <c r="B390" s="7" t="s">
        <v>9</v>
      </c>
      <c r="C390" s="8" t="s">
        <v>10</v>
      </c>
      <c r="D390" s="8" t="s">
        <v>11</v>
      </c>
      <c r="E390" s="9"/>
      <c r="F390" s="14">
        <f t="shared" si="33"/>
        <v>8.6666666666666679</v>
      </c>
      <c r="H390" s="91"/>
    </row>
    <row r="391" spans="1:8" s="5" customFormat="1" ht="12" x14ac:dyDescent="0.15">
      <c r="A391" s="11">
        <v>44372</v>
      </c>
      <c r="B391" s="7" t="s">
        <v>9</v>
      </c>
      <c r="C391" s="8" t="s">
        <v>10</v>
      </c>
      <c r="D391" s="8" t="s">
        <v>11</v>
      </c>
      <c r="E391" s="9"/>
      <c r="F391" s="14">
        <f t="shared" si="33"/>
        <v>8.6666666666666679</v>
      </c>
      <c r="H391" s="91"/>
    </row>
    <row r="392" spans="1:8" s="5" customFormat="1" ht="12" x14ac:dyDescent="0.15">
      <c r="A392" s="6">
        <v>44373</v>
      </c>
      <c r="B392" s="7" t="s">
        <v>8</v>
      </c>
      <c r="C392" s="8"/>
      <c r="D392" s="8"/>
      <c r="E392" s="9"/>
      <c r="F392" s="14" t="str">
        <f t="shared" si="33"/>
        <v/>
      </c>
      <c r="H392" s="91"/>
    </row>
    <row r="393" spans="1:8" s="5" customFormat="1" ht="12" x14ac:dyDescent="0.15">
      <c r="A393" s="43">
        <v>44374</v>
      </c>
      <c r="B393" s="35" t="s">
        <v>8</v>
      </c>
      <c r="C393" s="28"/>
      <c r="D393" s="8"/>
      <c r="E393" s="9"/>
      <c r="F393" s="14" t="str">
        <f t="shared" si="33"/>
        <v/>
      </c>
      <c r="G393" s="29"/>
      <c r="H393" s="92"/>
    </row>
    <row r="394" spans="1:8" s="5" customFormat="1" ht="12" x14ac:dyDescent="0.15">
      <c r="A394" s="30">
        <v>44375</v>
      </c>
      <c r="B394" s="31" t="s">
        <v>12</v>
      </c>
      <c r="C394" s="32" t="s">
        <v>10</v>
      </c>
      <c r="D394" s="8" t="s">
        <v>11</v>
      </c>
      <c r="E394" s="9"/>
      <c r="F394" s="14">
        <f t="shared" si="33"/>
        <v>8.6666666666666679</v>
      </c>
      <c r="G394" s="33"/>
      <c r="H394" s="90">
        <f>SUM(F394:F400)</f>
        <v>43.333333333333343</v>
      </c>
    </row>
    <row r="395" spans="1:8" s="5" customFormat="1" ht="12" x14ac:dyDescent="0.15">
      <c r="A395" s="11">
        <v>44376</v>
      </c>
      <c r="B395" s="7" t="s">
        <v>12</v>
      </c>
      <c r="C395" s="8" t="s">
        <v>10</v>
      </c>
      <c r="D395" s="8" t="s">
        <v>11</v>
      </c>
      <c r="E395" s="9"/>
      <c r="F395" s="14">
        <f t="shared" si="33"/>
        <v>8.6666666666666679</v>
      </c>
      <c r="H395" s="91"/>
    </row>
    <row r="396" spans="1:8" s="5" customFormat="1" ht="12" x14ac:dyDescent="0.15">
      <c r="A396" s="37">
        <v>44377</v>
      </c>
      <c r="B396" s="38" t="s">
        <v>9</v>
      </c>
      <c r="C396" s="39" t="s">
        <v>10</v>
      </c>
      <c r="D396" s="39" t="s">
        <v>11</v>
      </c>
      <c r="E396" s="40"/>
      <c r="F396" s="41">
        <f t="shared" si="33"/>
        <v>8.6666666666666679</v>
      </c>
      <c r="G396" s="42"/>
      <c r="H396" s="91"/>
    </row>
    <row r="397" spans="1:8" s="5" customFormat="1" ht="12" x14ac:dyDescent="0.15">
      <c r="A397" s="11">
        <v>44378</v>
      </c>
      <c r="B397" s="7" t="s">
        <v>9</v>
      </c>
      <c r="C397" s="8" t="s">
        <v>10</v>
      </c>
      <c r="D397" s="8" t="s">
        <v>11</v>
      </c>
      <c r="E397" s="9"/>
      <c r="F397" s="14">
        <f t="shared" si="33"/>
        <v>8.6666666666666679</v>
      </c>
      <c r="H397" s="91"/>
    </row>
    <row r="398" spans="1:8" s="5" customFormat="1" ht="12" x14ac:dyDescent="0.15">
      <c r="A398" s="6">
        <v>44379</v>
      </c>
      <c r="B398" s="7" t="s">
        <v>9</v>
      </c>
      <c r="C398" s="8" t="s">
        <v>10</v>
      </c>
      <c r="D398" s="8" t="s">
        <v>11</v>
      </c>
      <c r="E398" s="9"/>
      <c r="F398" s="14">
        <f t="shared" si="33"/>
        <v>8.6666666666666679</v>
      </c>
      <c r="H398" s="91"/>
    </row>
    <row r="399" spans="1:8" s="5" customFormat="1" ht="12" x14ac:dyDescent="0.15">
      <c r="A399" s="11">
        <v>44380</v>
      </c>
      <c r="B399" s="7" t="s">
        <v>8</v>
      </c>
      <c r="C399" s="8"/>
      <c r="D399" s="8"/>
      <c r="E399" s="9"/>
      <c r="F399" s="14" t="str">
        <f t="shared" si="33"/>
        <v/>
      </c>
      <c r="H399" s="91"/>
    </row>
    <row r="400" spans="1:8" s="5" customFormat="1" ht="12" x14ac:dyDescent="0.15">
      <c r="A400" s="34">
        <v>44381</v>
      </c>
      <c r="B400" s="35" t="s">
        <v>8</v>
      </c>
      <c r="C400" s="28"/>
      <c r="D400" s="8"/>
      <c r="E400" s="9"/>
      <c r="F400" s="14" t="str">
        <f t="shared" si="33"/>
        <v/>
      </c>
      <c r="G400" s="29"/>
      <c r="H400" s="92"/>
    </row>
    <row r="401" spans="1:8" s="5" customFormat="1" ht="12" x14ac:dyDescent="0.15">
      <c r="A401" s="36">
        <v>44382</v>
      </c>
      <c r="B401" s="31" t="s">
        <v>8</v>
      </c>
      <c r="C401" s="32"/>
      <c r="D401" s="8"/>
      <c r="E401" s="9"/>
      <c r="F401" s="14" t="str">
        <f t="shared" si="33"/>
        <v/>
      </c>
      <c r="G401" s="33"/>
      <c r="H401" s="90">
        <f t="shared" ref="H401" si="34">SUM(F401:F407)</f>
        <v>34.666666666666671</v>
      </c>
    </row>
    <row r="402" spans="1:8" s="5" customFormat="1" ht="12" x14ac:dyDescent="0.15">
      <c r="A402" s="6">
        <v>44383</v>
      </c>
      <c r="B402" s="7" t="s">
        <v>12</v>
      </c>
      <c r="C402" s="8" t="s">
        <v>10</v>
      </c>
      <c r="D402" s="8" t="s">
        <v>11</v>
      </c>
      <c r="E402" s="9"/>
      <c r="F402" s="14">
        <f t="shared" si="33"/>
        <v>8.6666666666666679</v>
      </c>
      <c r="H402" s="91"/>
    </row>
    <row r="403" spans="1:8" s="5" customFormat="1" ht="12" x14ac:dyDescent="0.15">
      <c r="A403" s="11">
        <v>44384</v>
      </c>
      <c r="B403" s="7" t="s">
        <v>12</v>
      </c>
      <c r="C403" s="8" t="s">
        <v>10</v>
      </c>
      <c r="D403" s="8" t="s">
        <v>11</v>
      </c>
      <c r="E403" s="9"/>
      <c r="F403" s="14">
        <f t="shared" si="33"/>
        <v>8.6666666666666679</v>
      </c>
      <c r="H403" s="91"/>
    </row>
    <row r="404" spans="1:8" s="5" customFormat="1" ht="12" x14ac:dyDescent="0.15">
      <c r="A404" s="6">
        <v>44385</v>
      </c>
      <c r="B404" s="7" t="s">
        <v>9</v>
      </c>
      <c r="C404" s="8" t="s">
        <v>10</v>
      </c>
      <c r="D404" s="8" t="s">
        <v>11</v>
      </c>
      <c r="E404" s="9"/>
      <c r="F404" s="14">
        <f t="shared" si="33"/>
        <v>8.6666666666666679</v>
      </c>
      <c r="H404" s="91"/>
    </row>
    <row r="405" spans="1:8" s="5" customFormat="1" ht="12" x14ac:dyDescent="0.15">
      <c r="A405" s="11">
        <v>44386</v>
      </c>
      <c r="B405" s="7" t="s">
        <v>9</v>
      </c>
      <c r="C405" s="8" t="s">
        <v>10</v>
      </c>
      <c r="D405" s="8" t="s">
        <v>11</v>
      </c>
      <c r="E405" s="9"/>
      <c r="F405" s="14">
        <f t="shared" si="33"/>
        <v>8.6666666666666679</v>
      </c>
      <c r="H405" s="91"/>
    </row>
    <row r="406" spans="1:8" s="5" customFormat="1" ht="12" x14ac:dyDescent="0.15">
      <c r="A406" s="6">
        <v>44387</v>
      </c>
      <c r="B406" s="7" t="s">
        <v>8</v>
      </c>
      <c r="C406" s="8"/>
      <c r="D406" s="8"/>
      <c r="E406" s="9"/>
      <c r="F406" s="14" t="str">
        <f t="shared" si="33"/>
        <v/>
      </c>
      <c r="H406" s="91"/>
    </row>
    <row r="407" spans="1:8" s="5" customFormat="1" ht="12" x14ac:dyDescent="0.15">
      <c r="A407" s="43">
        <v>44388</v>
      </c>
      <c r="B407" s="35" t="s">
        <v>8</v>
      </c>
      <c r="C407" s="28"/>
      <c r="D407" s="8"/>
      <c r="E407" s="9"/>
      <c r="F407" s="14" t="str">
        <f t="shared" si="33"/>
        <v/>
      </c>
      <c r="G407" s="29"/>
      <c r="H407" s="92"/>
    </row>
    <row r="408" spans="1:8" s="5" customFormat="1" ht="12" x14ac:dyDescent="0.15">
      <c r="A408" s="30">
        <v>44389</v>
      </c>
      <c r="B408" s="31" t="s">
        <v>8</v>
      </c>
      <c r="C408" s="32"/>
      <c r="D408" s="8"/>
      <c r="E408" s="9"/>
      <c r="F408" s="14" t="str">
        <f t="shared" si="33"/>
        <v/>
      </c>
      <c r="G408" s="33"/>
      <c r="H408" s="90">
        <f t="shared" ref="H408:H471" si="35">SUM(F408:F414)</f>
        <v>34.666666666666671</v>
      </c>
    </row>
    <row r="409" spans="1:8" s="5" customFormat="1" ht="12" x14ac:dyDescent="0.15">
      <c r="A409" s="11">
        <v>44390</v>
      </c>
      <c r="B409" s="7" t="s">
        <v>9</v>
      </c>
      <c r="C409" s="8" t="s">
        <v>10</v>
      </c>
      <c r="D409" s="8" t="s">
        <v>11</v>
      </c>
      <c r="E409" s="9"/>
      <c r="F409" s="14">
        <f t="shared" si="33"/>
        <v>8.6666666666666679</v>
      </c>
      <c r="H409" s="91"/>
    </row>
    <row r="410" spans="1:8" s="5" customFormat="1" ht="12" x14ac:dyDescent="0.15">
      <c r="A410" s="6">
        <v>44391</v>
      </c>
      <c r="B410" s="7" t="s">
        <v>12</v>
      </c>
      <c r="C410" s="8" t="s">
        <v>10</v>
      </c>
      <c r="D410" s="8" t="s">
        <v>11</v>
      </c>
      <c r="E410" s="9"/>
      <c r="F410" s="14">
        <f t="shared" si="33"/>
        <v>8.6666666666666679</v>
      </c>
      <c r="H410" s="91"/>
    </row>
    <row r="411" spans="1:8" s="5" customFormat="1" ht="12" x14ac:dyDescent="0.15">
      <c r="A411" s="11">
        <v>44392</v>
      </c>
      <c r="B411" s="7" t="s">
        <v>12</v>
      </c>
      <c r="C411" s="8" t="s">
        <v>10</v>
      </c>
      <c r="D411" s="8" t="s">
        <v>11</v>
      </c>
      <c r="E411" s="9"/>
      <c r="F411" s="14">
        <f t="shared" si="33"/>
        <v>8.6666666666666679</v>
      </c>
      <c r="H411" s="91"/>
    </row>
    <row r="412" spans="1:8" s="5" customFormat="1" ht="12" x14ac:dyDescent="0.15">
      <c r="A412" s="6">
        <v>44393</v>
      </c>
      <c r="B412" s="7" t="s">
        <v>9</v>
      </c>
      <c r="C412" s="8" t="s">
        <v>10</v>
      </c>
      <c r="D412" s="8" t="s">
        <v>11</v>
      </c>
      <c r="E412" s="9"/>
      <c r="F412" s="14">
        <f t="shared" si="33"/>
        <v>8.6666666666666679</v>
      </c>
      <c r="H412" s="91"/>
    </row>
    <row r="413" spans="1:8" s="5" customFormat="1" ht="12" x14ac:dyDescent="0.15">
      <c r="A413" s="11">
        <v>44394</v>
      </c>
      <c r="B413" s="7" t="s">
        <v>8</v>
      </c>
      <c r="C413" s="8"/>
      <c r="D413" s="8"/>
      <c r="E413" s="9"/>
      <c r="F413" s="14" t="str">
        <f t="shared" si="33"/>
        <v/>
      </c>
      <c r="H413" s="91"/>
    </row>
    <row r="414" spans="1:8" s="5" customFormat="1" ht="12" x14ac:dyDescent="0.15">
      <c r="A414" s="34">
        <v>44395</v>
      </c>
      <c r="B414" s="35" t="s">
        <v>8</v>
      </c>
      <c r="C414" s="28"/>
      <c r="D414" s="8"/>
      <c r="E414" s="9"/>
      <c r="F414" s="14" t="str">
        <f t="shared" si="33"/>
        <v/>
      </c>
      <c r="G414" s="29"/>
      <c r="H414" s="92"/>
    </row>
    <row r="415" spans="1:8" s="5" customFormat="1" ht="12" x14ac:dyDescent="0.15">
      <c r="A415" s="36">
        <v>44396</v>
      </c>
      <c r="B415" s="31" t="s">
        <v>8</v>
      </c>
      <c r="C415" s="32"/>
      <c r="D415" s="8"/>
      <c r="E415" s="9"/>
      <c r="F415" s="14" t="str">
        <f t="shared" si="33"/>
        <v/>
      </c>
      <c r="G415" s="33"/>
      <c r="H415" s="90">
        <f t="shared" si="35"/>
        <v>34.666666666666671</v>
      </c>
    </row>
    <row r="416" spans="1:8" s="5" customFormat="1" ht="12" x14ac:dyDescent="0.15">
      <c r="A416" s="6">
        <v>44397</v>
      </c>
      <c r="B416" s="7" t="s">
        <v>12</v>
      </c>
      <c r="C416" s="8" t="s">
        <v>10</v>
      </c>
      <c r="D416" s="8" t="s">
        <v>11</v>
      </c>
      <c r="E416" s="9"/>
      <c r="F416" s="14">
        <f t="shared" si="33"/>
        <v>8.6666666666666679</v>
      </c>
      <c r="H416" s="91"/>
    </row>
    <row r="417" spans="1:8" s="5" customFormat="1" ht="12" x14ac:dyDescent="0.15">
      <c r="A417" s="11">
        <v>44398</v>
      </c>
      <c r="B417" s="7" t="s">
        <v>12</v>
      </c>
      <c r="C417" s="8" t="s">
        <v>10</v>
      </c>
      <c r="D417" s="8" t="s">
        <v>11</v>
      </c>
      <c r="E417" s="9"/>
      <c r="F417" s="14">
        <f t="shared" si="33"/>
        <v>8.6666666666666679</v>
      </c>
      <c r="H417" s="91"/>
    </row>
    <row r="418" spans="1:8" s="5" customFormat="1" ht="12" x14ac:dyDescent="0.15">
      <c r="A418" s="6">
        <v>44399</v>
      </c>
      <c r="B418" s="7" t="s">
        <v>9</v>
      </c>
      <c r="C418" s="8" t="s">
        <v>10</v>
      </c>
      <c r="D418" s="8" t="s">
        <v>11</v>
      </c>
      <c r="E418" s="9"/>
      <c r="F418" s="14">
        <f t="shared" si="33"/>
        <v>8.6666666666666679</v>
      </c>
      <c r="H418" s="91"/>
    </row>
    <row r="419" spans="1:8" s="5" customFormat="1" ht="12" x14ac:dyDescent="0.15">
      <c r="A419" s="11">
        <v>44400</v>
      </c>
      <c r="B419" s="7" t="s">
        <v>9</v>
      </c>
      <c r="C419" s="8" t="s">
        <v>10</v>
      </c>
      <c r="D419" s="8" t="s">
        <v>11</v>
      </c>
      <c r="E419" s="9"/>
      <c r="F419" s="14">
        <f t="shared" si="33"/>
        <v>8.6666666666666679</v>
      </c>
      <c r="H419" s="91"/>
    </row>
    <row r="420" spans="1:8" s="5" customFormat="1" ht="12" x14ac:dyDescent="0.15">
      <c r="A420" s="6">
        <v>44401</v>
      </c>
      <c r="B420" s="7" t="s">
        <v>8</v>
      </c>
      <c r="C420" s="8"/>
      <c r="D420" s="8"/>
      <c r="E420" s="9"/>
      <c r="F420" s="14" t="str">
        <f t="shared" si="33"/>
        <v/>
      </c>
      <c r="H420" s="91"/>
    </row>
    <row r="421" spans="1:8" s="5" customFormat="1" ht="12" x14ac:dyDescent="0.15">
      <c r="A421" s="43">
        <v>44402</v>
      </c>
      <c r="B421" s="35" t="s">
        <v>8</v>
      </c>
      <c r="C421" s="28"/>
      <c r="D421" s="8"/>
      <c r="E421" s="9"/>
      <c r="F421" s="14" t="str">
        <f t="shared" si="33"/>
        <v/>
      </c>
      <c r="G421" s="29"/>
      <c r="H421" s="92"/>
    </row>
    <row r="422" spans="1:8" s="5" customFormat="1" ht="12" x14ac:dyDescent="0.15">
      <c r="A422" s="30">
        <v>44403</v>
      </c>
      <c r="B422" s="31" t="s">
        <v>9</v>
      </c>
      <c r="C422" s="32" t="s">
        <v>10</v>
      </c>
      <c r="D422" s="8" t="s">
        <v>11</v>
      </c>
      <c r="E422" s="9"/>
      <c r="F422" s="14">
        <f t="shared" si="33"/>
        <v>8.6666666666666679</v>
      </c>
      <c r="G422" s="33"/>
      <c r="H422" s="90">
        <f t="shared" si="35"/>
        <v>43.333333333333343</v>
      </c>
    </row>
    <row r="423" spans="1:8" s="5" customFormat="1" ht="12" x14ac:dyDescent="0.15">
      <c r="A423" s="11">
        <v>44404</v>
      </c>
      <c r="B423" s="7" t="s">
        <v>9</v>
      </c>
      <c r="C423" s="8" t="s">
        <v>10</v>
      </c>
      <c r="D423" s="8" t="s">
        <v>11</v>
      </c>
      <c r="E423" s="9"/>
      <c r="F423" s="14">
        <f t="shared" si="33"/>
        <v>8.6666666666666679</v>
      </c>
      <c r="H423" s="91"/>
    </row>
    <row r="424" spans="1:8" s="5" customFormat="1" ht="12" x14ac:dyDescent="0.15">
      <c r="A424" s="6">
        <v>44405</v>
      </c>
      <c r="B424" s="7" t="s">
        <v>9</v>
      </c>
      <c r="C424" s="8" t="s">
        <v>10</v>
      </c>
      <c r="D424" s="8" t="s">
        <v>11</v>
      </c>
      <c r="E424" s="9"/>
      <c r="F424" s="14">
        <f t="shared" si="33"/>
        <v>8.6666666666666679</v>
      </c>
      <c r="H424" s="91"/>
    </row>
    <row r="425" spans="1:8" s="5" customFormat="1" ht="12" x14ac:dyDescent="0.15">
      <c r="A425" s="11">
        <v>44406</v>
      </c>
      <c r="B425" s="7" t="s">
        <v>12</v>
      </c>
      <c r="C425" s="8" t="s">
        <v>10</v>
      </c>
      <c r="D425" s="8" t="s">
        <v>11</v>
      </c>
      <c r="E425" s="9"/>
      <c r="F425" s="14">
        <f t="shared" si="33"/>
        <v>8.6666666666666679</v>
      </c>
      <c r="H425" s="91"/>
    </row>
    <row r="426" spans="1:8" s="5" customFormat="1" ht="12" x14ac:dyDescent="0.15">
      <c r="A426" s="6">
        <v>44407</v>
      </c>
      <c r="B426" s="7" t="s">
        <v>12</v>
      </c>
      <c r="C426" s="8" t="s">
        <v>10</v>
      </c>
      <c r="D426" s="8" t="s">
        <v>11</v>
      </c>
      <c r="E426" s="9"/>
      <c r="F426" s="14">
        <f t="shared" si="33"/>
        <v>8.6666666666666679</v>
      </c>
      <c r="H426" s="91"/>
    </row>
    <row r="427" spans="1:8" s="5" customFormat="1" ht="12" x14ac:dyDescent="0.15">
      <c r="A427" s="11">
        <v>44408</v>
      </c>
      <c r="B427" s="7" t="s">
        <v>8</v>
      </c>
      <c r="C427" s="8"/>
      <c r="D427" s="8"/>
      <c r="E427" s="9"/>
      <c r="F427" s="14" t="str">
        <f t="shared" si="33"/>
        <v/>
      </c>
      <c r="H427" s="91"/>
    </row>
    <row r="428" spans="1:8" s="5" customFormat="1" ht="12" x14ac:dyDescent="0.15">
      <c r="A428" s="34">
        <v>44409</v>
      </c>
      <c r="B428" s="35" t="s">
        <v>8</v>
      </c>
      <c r="C428" s="28"/>
      <c r="D428" s="8"/>
      <c r="E428" s="9"/>
      <c r="F428" s="14" t="str">
        <f t="shared" si="33"/>
        <v/>
      </c>
      <c r="G428" s="29"/>
      <c r="H428" s="92"/>
    </row>
    <row r="429" spans="1:8" s="5" customFormat="1" ht="12" x14ac:dyDescent="0.15">
      <c r="A429" s="36">
        <v>44410</v>
      </c>
      <c r="B429" s="31" t="s">
        <v>8</v>
      </c>
      <c r="C429" s="32"/>
      <c r="D429" s="8"/>
      <c r="E429" s="9"/>
      <c r="F429" s="14" t="str">
        <f t="shared" si="33"/>
        <v/>
      </c>
      <c r="G429" s="33"/>
      <c r="H429" s="90">
        <f t="shared" si="35"/>
        <v>34.666666666666671</v>
      </c>
    </row>
    <row r="430" spans="1:8" s="5" customFormat="1" ht="12" x14ac:dyDescent="0.15">
      <c r="A430" s="6">
        <v>44411</v>
      </c>
      <c r="B430" s="7" t="s">
        <v>9</v>
      </c>
      <c r="C430" s="8" t="s">
        <v>10</v>
      </c>
      <c r="D430" s="8" t="s">
        <v>11</v>
      </c>
      <c r="E430" s="9"/>
      <c r="F430" s="14">
        <f t="shared" si="33"/>
        <v>8.6666666666666679</v>
      </c>
      <c r="H430" s="91"/>
    </row>
    <row r="431" spans="1:8" s="5" customFormat="1" ht="12" x14ac:dyDescent="0.15">
      <c r="A431" s="11">
        <v>44412</v>
      </c>
      <c r="B431" s="7" t="s">
        <v>9</v>
      </c>
      <c r="C431" s="8" t="s">
        <v>10</v>
      </c>
      <c r="D431" s="8" t="s">
        <v>11</v>
      </c>
      <c r="E431" s="9"/>
      <c r="F431" s="14">
        <f t="shared" si="33"/>
        <v>8.6666666666666679</v>
      </c>
      <c r="H431" s="91"/>
    </row>
    <row r="432" spans="1:8" s="5" customFormat="1" ht="12" x14ac:dyDescent="0.15">
      <c r="A432" s="6">
        <v>44413</v>
      </c>
      <c r="B432" s="7" t="s">
        <v>9</v>
      </c>
      <c r="C432" s="8" t="s">
        <v>10</v>
      </c>
      <c r="D432" s="8" t="s">
        <v>11</v>
      </c>
      <c r="E432" s="9"/>
      <c r="F432" s="14">
        <f t="shared" si="33"/>
        <v>8.6666666666666679</v>
      </c>
      <c r="H432" s="91"/>
    </row>
    <row r="433" spans="1:8" s="5" customFormat="1" ht="12" x14ac:dyDescent="0.15">
      <c r="A433" s="11">
        <v>44414</v>
      </c>
      <c r="B433" s="7" t="s">
        <v>9</v>
      </c>
      <c r="C433" s="8" t="s">
        <v>10</v>
      </c>
      <c r="D433" s="8" t="s">
        <v>11</v>
      </c>
      <c r="E433" s="9"/>
      <c r="F433" s="14">
        <f t="shared" si="33"/>
        <v>8.6666666666666679</v>
      </c>
      <c r="H433" s="91"/>
    </row>
    <row r="434" spans="1:8" s="5" customFormat="1" ht="12" x14ac:dyDescent="0.15">
      <c r="A434" s="6">
        <v>44415</v>
      </c>
      <c r="B434" s="7" t="s">
        <v>8</v>
      </c>
      <c r="C434" s="8"/>
      <c r="D434" s="8"/>
      <c r="E434" s="9"/>
      <c r="F434" s="14" t="str">
        <f t="shared" si="33"/>
        <v/>
      </c>
      <c r="H434" s="91"/>
    </row>
    <row r="435" spans="1:8" s="5" customFormat="1" ht="12" x14ac:dyDescent="0.15">
      <c r="A435" s="43">
        <v>44416</v>
      </c>
      <c r="B435" s="35" t="s">
        <v>8</v>
      </c>
      <c r="C435" s="28"/>
      <c r="D435" s="8"/>
      <c r="E435" s="9"/>
      <c r="F435" s="14" t="str">
        <f t="shared" si="33"/>
        <v/>
      </c>
      <c r="G435" s="29"/>
      <c r="H435" s="92"/>
    </row>
    <row r="436" spans="1:8" s="5" customFormat="1" ht="12" x14ac:dyDescent="0.15">
      <c r="A436" s="30">
        <v>44417</v>
      </c>
      <c r="B436" s="31" t="s">
        <v>9</v>
      </c>
      <c r="C436" s="32" t="s">
        <v>10</v>
      </c>
      <c r="D436" s="8" t="s">
        <v>11</v>
      </c>
      <c r="E436" s="9"/>
      <c r="F436" s="14">
        <f t="shared" si="33"/>
        <v>8.6666666666666679</v>
      </c>
      <c r="G436" s="33"/>
      <c r="H436" s="90">
        <f t="shared" si="35"/>
        <v>34.666666666666671</v>
      </c>
    </row>
    <row r="437" spans="1:8" s="5" customFormat="1" ht="12" x14ac:dyDescent="0.15">
      <c r="A437" s="11">
        <v>44418</v>
      </c>
      <c r="B437" s="7" t="s">
        <v>9</v>
      </c>
      <c r="C437" s="8" t="s">
        <v>10</v>
      </c>
      <c r="D437" s="8" t="s">
        <v>11</v>
      </c>
      <c r="E437" s="9"/>
      <c r="F437" s="14">
        <f t="shared" si="33"/>
        <v>8.6666666666666679</v>
      </c>
      <c r="H437" s="91"/>
    </row>
    <row r="438" spans="1:8" s="5" customFormat="1" ht="12" x14ac:dyDescent="0.15">
      <c r="A438" s="6">
        <v>44419</v>
      </c>
      <c r="B438" s="7" t="s">
        <v>8</v>
      </c>
      <c r="C438" s="8"/>
      <c r="D438" s="8"/>
      <c r="E438" s="9"/>
      <c r="F438" s="14" t="str">
        <f t="shared" si="33"/>
        <v/>
      </c>
      <c r="H438" s="91"/>
    </row>
    <row r="439" spans="1:8" s="5" customFormat="1" ht="12" x14ac:dyDescent="0.15">
      <c r="A439" s="11">
        <v>44420</v>
      </c>
      <c r="B439" s="7" t="s">
        <v>9</v>
      </c>
      <c r="C439" s="8" t="s">
        <v>10</v>
      </c>
      <c r="D439" s="8" t="s">
        <v>11</v>
      </c>
      <c r="E439" s="9"/>
      <c r="F439" s="14">
        <f t="shared" si="33"/>
        <v>8.6666666666666679</v>
      </c>
      <c r="H439" s="91"/>
    </row>
    <row r="440" spans="1:8" s="5" customFormat="1" ht="12" x14ac:dyDescent="0.15">
      <c r="A440" s="6">
        <v>44421</v>
      </c>
      <c r="B440" s="7" t="s">
        <v>9</v>
      </c>
      <c r="C440" s="8" t="s">
        <v>10</v>
      </c>
      <c r="D440" s="8" t="s">
        <v>11</v>
      </c>
      <c r="E440" s="9"/>
      <c r="F440" s="14">
        <f t="shared" si="33"/>
        <v>8.6666666666666679</v>
      </c>
      <c r="H440" s="91"/>
    </row>
    <row r="441" spans="1:8" s="5" customFormat="1" ht="12" x14ac:dyDescent="0.15">
      <c r="A441" s="11">
        <v>44422</v>
      </c>
      <c r="B441" s="7" t="s">
        <v>8</v>
      </c>
      <c r="C441" s="8"/>
      <c r="D441" s="8"/>
      <c r="E441" s="9"/>
      <c r="F441" s="14" t="str">
        <f t="shared" si="33"/>
        <v/>
      </c>
      <c r="H441" s="91"/>
    </row>
    <row r="442" spans="1:8" s="5" customFormat="1" ht="12" x14ac:dyDescent="0.15">
      <c r="A442" s="34">
        <v>44423</v>
      </c>
      <c r="B442" s="35" t="s">
        <v>8</v>
      </c>
      <c r="C442" s="28"/>
      <c r="D442" s="8"/>
      <c r="E442" s="9"/>
      <c r="F442" s="14" t="str">
        <f t="shared" si="33"/>
        <v/>
      </c>
      <c r="G442" s="29"/>
      <c r="H442" s="92"/>
    </row>
    <row r="443" spans="1:8" s="5" customFormat="1" ht="12" x14ac:dyDescent="0.15">
      <c r="A443" s="36">
        <v>44424</v>
      </c>
      <c r="B443" s="31" t="s">
        <v>8</v>
      </c>
      <c r="C443" s="32"/>
      <c r="D443" s="8"/>
      <c r="E443" s="9"/>
      <c r="F443" s="14" t="str">
        <f t="shared" si="33"/>
        <v/>
      </c>
      <c r="G443" s="33"/>
      <c r="H443" s="90">
        <f t="shared" si="35"/>
        <v>26.000000000000004</v>
      </c>
    </row>
    <row r="444" spans="1:8" s="5" customFormat="1" ht="12" x14ac:dyDescent="0.15">
      <c r="A444" s="6">
        <v>44425</v>
      </c>
      <c r="B444" s="7" t="s">
        <v>12</v>
      </c>
      <c r="C444" s="8" t="s">
        <v>10</v>
      </c>
      <c r="D444" s="8" t="s">
        <v>11</v>
      </c>
      <c r="E444" s="9"/>
      <c r="F444" s="14">
        <f t="shared" si="33"/>
        <v>8.6666666666666679</v>
      </c>
      <c r="H444" s="91"/>
    </row>
    <row r="445" spans="1:8" s="5" customFormat="1" ht="12" x14ac:dyDescent="0.15">
      <c r="A445" s="11">
        <v>44426</v>
      </c>
      <c r="B445" s="7" t="s">
        <v>9</v>
      </c>
      <c r="C445" s="8" t="s">
        <v>10</v>
      </c>
      <c r="D445" s="8" t="s">
        <v>11</v>
      </c>
      <c r="E445" s="9"/>
      <c r="F445" s="14">
        <f t="shared" si="33"/>
        <v>8.6666666666666679</v>
      </c>
      <c r="H445" s="91"/>
    </row>
    <row r="446" spans="1:8" s="5" customFormat="1" ht="12" x14ac:dyDescent="0.15">
      <c r="A446" s="6">
        <v>44427</v>
      </c>
      <c r="B446" s="7" t="s">
        <v>8</v>
      </c>
      <c r="C446" s="8"/>
      <c r="D446" s="8"/>
      <c r="E446" s="9"/>
      <c r="F446" s="14" t="str">
        <f t="shared" si="33"/>
        <v/>
      </c>
      <c r="H446" s="91"/>
    </row>
    <row r="447" spans="1:8" s="5" customFormat="1" ht="12" x14ac:dyDescent="0.15">
      <c r="A447" s="11">
        <v>44428</v>
      </c>
      <c r="B447" s="7" t="s">
        <v>9</v>
      </c>
      <c r="C447" s="8" t="s">
        <v>10</v>
      </c>
      <c r="D447" s="8" t="s">
        <v>11</v>
      </c>
      <c r="E447" s="9"/>
      <c r="F447" s="14">
        <f t="shared" si="33"/>
        <v>8.6666666666666679</v>
      </c>
      <c r="H447" s="91"/>
    </row>
    <row r="448" spans="1:8" s="5" customFormat="1" ht="12" x14ac:dyDescent="0.15">
      <c r="A448" s="6">
        <v>44429</v>
      </c>
      <c r="B448" s="7" t="s">
        <v>8</v>
      </c>
      <c r="C448" s="8"/>
      <c r="D448" s="8"/>
      <c r="E448" s="9"/>
      <c r="F448" s="14" t="str">
        <f t="shared" si="33"/>
        <v/>
      </c>
      <c r="H448" s="91"/>
    </row>
    <row r="449" spans="1:8" s="5" customFormat="1" ht="12" x14ac:dyDescent="0.15">
      <c r="A449" s="43">
        <v>44430</v>
      </c>
      <c r="B449" s="35" t="s">
        <v>8</v>
      </c>
      <c r="C449" s="28"/>
      <c r="D449" s="8"/>
      <c r="E449" s="9"/>
      <c r="F449" s="14" t="str">
        <f t="shared" si="33"/>
        <v/>
      </c>
      <c r="G449" s="29"/>
      <c r="H449" s="92"/>
    </row>
    <row r="450" spans="1:8" s="5" customFormat="1" ht="12" x14ac:dyDescent="0.15">
      <c r="A450" s="30">
        <v>44431</v>
      </c>
      <c r="B450" s="31" t="s">
        <v>9</v>
      </c>
      <c r="C450" s="32" t="s">
        <v>10</v>
      </c>
      <c r="D450" s="8" t="s">
        <v>11</v>
      </c>
      <c r="E450" s="9"/>
      <c r="F450" s="14">
        <f t="shared" si="33"/>
        <v>8.6666666666666679</v>
      </c>
      <c r="G450" s="33"/>
      <c r="H450" s="90">
        <f t="shared" si="35"/>
        <v>34.666666666666671</v>
      </c>
    </row>
    <row r="451" spans="1:8" s="5" customFormat="1" ht="12" x14ac:dyDescent="0.15">
      <c r="A451" s="11">
        <v>44432</v>
      </c>
      <c r="B451" s="7" t="s">
        <v>9</v>
      </c>
      <c r="C451" s="8" t="s">
        <v>10</v>
      </c>
      <c r="D451" s="8" t="s">
        <v>11</v>
      </c>
      <c r="E451" s="9"/>
      <c r="F451" s="14">
        <f t="shared" si="33"/>
        <v>8.6666666666666679</v>
      </c>
      <c r="H451" s="91"/>
    </row>
    <row r="452" spans="1:8" s="5" customFormat="1" ht="12" x14ac:dyDescent="0.15">
      <c r="A452" s="6">
        <v>44433</v>
      </c>
      <c r="B452" s="7" t="s">
        <v>9</v>
      </c>
      <c r="C452" s="8" t="s">
        <v>10</v>
      </c>
      <c r="D452" s="8" t="s">
        <v>11</v>
      </c>
      <c r="E452" s="9"/>
      <c r="F452" s="14">
        <f t="shared" si="33"/>
        <v>8.6666666666666679</v>
      </c>
      <c r="H452" s="91"/>
    </row>
    <row r="453" spans="1:8" s="5" customFormat="1" ht="12" x14ac:dyDescent="0.15">
      <c r="A453" s="11">
        <v>44434</v>
      </c>
      <c r="B453" s="7" t="s">
        <v>12</v>
      </c>
      <c r="C453" s="8" t="s">
        <v>10</v>
      </c>
      <c r="D453" s="8" t="s">
        <v>11</v>
      </c>
      <c r="E453" s="9"/>
      <c r="F453" s="14">
        <f t="shared" ref="F453:F516" si="36">IF(C453="", "", IF(D453="", "", (D453-C453)*24 - E453))</f>
        <v>8.6666666666666679</v>
      </c>
      <c r="H453" s="91"/>
    </row>
    <row r="454" spans="1:8" s="5" customFormat="1" ht="12" x14ac:dyDescent="0.15">
      <c r="A454" s="6">
        <v>44435</v>
      </c>
      <c r="B454" s="7" t="s">
        <v>8</v>
      </c>
      <c r="C454" s="8"/>
      <c r="D454" s="8"/>
      <c r="E454" s="9"/>
      <c r="F454" s="14" t="str">
        <f t="shared" si="36"/>
        <v/>
      </c>
      <c r="H454" s="91"/>
    </row>
    <row r="455" spans="1:8" s="5" customFormat="1" ht="12" x14ac:dyDescent="0.15">
      <c r="A455" s="11">
        <v>44436</v>
      </c>
      <c r="B455" s="7" t="s">
        <v>8</v>
      </c>
      <c r="C455" s="8"/>
      <c r="D455" s="8"/>
      <c r="E455" s="9"/>
      <c r="F455" s="14" t="str">
        <f t="shared" si="36"/>
        <v/>
      </c>
      <c r="H455" s="91"/>
    </row>
    <row r="456" spans="1:8" s="5" customFormat="1" ht="12" x14ac:dyDescent="0.15">
      <c r="A456" s="34">
        <v>44437</v>
      </c>
      <c r="B456" s="35" t="s">
        <v>8</v>
      </c>
      <c r="C456" s="28"/>
      <c r="D456" s="8"/>
      <c r="E456" s="9"/>
      <c r="F456" s="14" t="str">
        <f t="shared" si="36"/>
        <v/>
      </c>
      <c r="G456" s="29"/>
      <c r="H456" s="92"/>
    </row>
    <row r="457" spans="1:8" s="5" customFormat="1" ht="12" x14ac:dyDescent="0.15">
      <c r="A457" s="36">
        <v>44438</v>
      </c>
      <c r="B457" s="31" t="s">
        <v>8</v>
      </c>
      <c r="C457" s="32"/>
      <c r="D457" s="8"/>
      <c r="E457" s="9"/>
      <c r="F457" s="14" t="str">
        <f t="shared" si="36"/>
        <v/>
      </c>
      <c r="G457" s="33"/>
      <c r="H457" s="90">
        <f t="shared" si="35"/>
        <v>34.666666666666671</v>
      </c>
    </row>
    <row r="458" spans="1:8" s="5" customFormat="1" ht="12" x14ac:dyDescent="0.15">
      <c r="A458" s="6">
        <v>44439</v>
      </c>
      <c r="B458" s="7" t="s">
        <v>12</v>
      </c>
      <c r="C458" s="8" t="s">
        <v>10</v>
      </c>
      <c r="D458" s="8" t="s">
        <v>11</v>
      </c>
      <c r="E458" s="9"/>
      <c r="F458" s="14">
        <f t="shared" si="36"/>
        <v>8.6666666666666679</v>
      </c>
      <c r="H458" s="91"/>
    </row>
    <row r="459" spans="1:8" s="5" customFormat="1" ht="12" x14ac:dyDescent="0.15">
      <c r="A459" s="11">
        <v>44440</v>
      </c>
      <c r="B459" s="7" t="s">
        <v>12</v>
      </c>
      <c r="C459" s="8" t="s">
        <v>10</v>
      </c>
      <c r="D459" s="8" t="s">
        <v>11</v>
      </c>
      <c r="E459" s="9"/>
      <c r="F459" s="14">
        <f t="shared" si="36"/>
        <v>8.6666666666666679</v>
      </c>
      <c r="H459" s="91"/>
    </row>
    <row r="460" spans="1:8" s="5" customFormat="1" ht="12" x14ac:dyDescent="0.15">
      <c r="A460" s="6">
        <v>44441</v>
      </c>
      <c r="B460" s="7" t="s">
        <v>9</v>
      </c>
      <c r="C460" s="8" t="s">
        <v>10</v>
      </c>
      <c r="D460" s="8" t="s">
        <v>11</v>
      </c>
      <c r="E460" s="9"/>
      <c r="F460" s="14">
        <f t="shared" si="36"/>
        <v>8.6666666666666679</v>
      </c>
      <c r="H460" s="91"/>
    </row>
    <row r="461" spans="1:8" s="5" customFormat="1" ht="12" x14ac:dyDescent="0.15">
      <c r="A461" s="11">
        <v>44442</v>
      </c>
      <c r="B461" s="7" t="s">
        <v>9</v>
      </c>
      <c r="C461" s="8" t="s">
        <v>10</v>
      </c>
      <c r="D461" s="8" t="s">
        <v>11</v>
      </c>
      <c r="E461" s="9"/>
      <c r="F461" s="14">
        <f t="shared" si="36"/>
        <v>8.6666666666666679</v>
      </c>
      <c r="H461" s="91"/>
    </row>
    <row r="462" spans="1:8" s="5" customFormat="1" ht="12" x14ac:dyDescent="0.15">
      <c r="A462" s="6">
        <v>44443</v>
      </c>
      <c r="B462" s="7" t="s">
        <v>8</v>
      </c>
      <c r="C462" s="8"/>
      <c r="D462" s="8"/>
      <c r="E462" s="9"/>
      <c r="F462" s="14" t="str">
        <f t="shared" si="36"/>
        <v/>
      </c>
      <c r="H462" s="91"/>
    </row>
    <row r="463" spans="1:8" s="5" customFormat="1" ht="12" x14ac:dyDescent="0.15">
      <c r="A463" s="43">
        <v>44444</v>
      </c>
      <c r="B463" s="35" t="s">
        <v>8</v>
      </c>
      <c r="C463" s="28"/>
      <c r="D463" s="8"/>
      <c r="E463" s="9"/>
      <c r="F463" s="14" t="str">
        <f t="shared" si="36"/>
        <v/>
      </c>
      <c r="G463" s="29"/>
      <c r="H463" s="92"/>
    </row>
    <row r="464" spans="1:8" s="5" customFormat="1" ht="12" x14ac:dyDescent="0.15">
      <c r="A464" s="30">
        <v>44445</v>
      </c>
      <c r="B464" s="31" t="s">
        <v>9</v>
      </c>
      <c r="C464" s="32" t="s">
        <v>10</v>
      </c>
      <c r="D464" s="8" t="s">
        <v>11</v>
      </c>
      <c r="E464" s="9"/>
      <c r="F464" s="14">
        <f t="shared" si="36"/>
        <v>8.6666666666666679</v>
      </c>
      <c r="G464" s="33"/>
      <c r="H464" s="90">
        <f t="shared" si="35"/>
        <v>43.333333333333343</v>
      </c>
    </row>
    <row r="465" spans="1:8" s="5" customFormat="1" ht="12" x14ac:dyDescent="0.15">
      <c r="A465" s="11">
        <v>44446</v>
      </c>
      <c r="B465" s="7" t="s">
        <v>9</v>
      </c>
      <c r="C465" s="8" t="s">
        <v>10</v>
      </c>
      <c r="D465" s="8" t="s">
        <v>11</v>
      </c>
      <c r="E465" s="9"/>
      <c r="F465" s="14">
        <f t="shared" si="36"/>
        <v>8.6666666666666679</v>
      </c>
      <c r="H465" s="91"/>
    </row>
    <row r="466" spans="1:8" s="5" customFormat="1" ht="12" x14ac:dyDescent="0.15">
      <c r="A466" s="6">
        <v>44447</v>
      </c>
      <c r="B466" s="7" t="s">
        <v>12</v>
      </c>
      <c r="C466" s="8" t="s">
        <v>10</v>
      </c>
      <c r="D466" s="8" t="s">
        <v>11</v>
      </c>
      <c r="E466" s="9"/>
      <c r="F466" s="14">
        <f t="shared" si="36"/>
        <v>8.6666666666666679</v>
      </c>
      <c r="H466" s="91"/>
    </row>
    <row r="467" spans="1:8" s="5" customFormat="1" ht="12" x14ac:dyDescent="0.15">
      <c r="A467" s="11">
        <v>44448</v>
      </c>
      <c r="B467" s="7" t="s">
        <v>12</v>
      </c>
      <c r="C467" s="8" t="s">
        <v>10</v>
      </c>
      <c r="D467" s="8" t="s">
        <v>11</v>
      </c>
      <c r="E467" s="9"/>
      <c r="F467" s="14">
        <f t="shared" si="36"/>
        <v>8.6666666666666679</v>
      </c>
      <c r="H467" s="91"/>
    </row>
    <row r="468" spans="1:8" s="5" customFormat="1" ht="12" x14ac:dyDescent="0.15">
      <c r="A468" s="6">
        <v>44449</v>
      </c>
      <c r="B468" s="7" t="s">
        <v>12</v>
      </c>
      <c r="C468" s="8" t="s">
        <v>10</v>
      </c>
      <c r="D468" s="8" t="s">
        <v>11</v>
      </c>
      <c r="E468" s="9"/>
      <c r="F468" s="14">
        <f t="shared" si="36"/>
        <v>8.6666666666666679</v>
      </c>
      <c r="H468" s="91"/>
    </row>
    <row r="469" spans="1:8" s="5" customFormat="1" ht="12" x14ac:dyDescent="0.15">
      <c r="A469" s="11">
        <v>44450</v>
      </c>
      <c r="B469" s="7" t="s">
        <v>8</v>
      </c>
      <c r="C469" s="8"/>
      <c r="D469" s="8"/>
      <c r="E469" s="9"/>
      <c r="F469" s="14" t="str">
        <f t="shared" si="36"/>
        <v/>
      </c>
      <c r="H469" s="91"/>
    </row>
    <row r="470" spans="1:8" s="5" customFormat="1" ht="12" x14ac:dyDescent="0.15">
      <c r="A470" s="34">
        <v>44451</v>
      </c>
      <c r="B470" s="35" t="s">
        <v>8</v>
      </c>
      <c r="C470" s="28"/>
      <c r="D470" s="8"/>
      <c r="E470" s="9"/>
      <c r="F470" s="14" t="str">
        <f t="shared" si="36"/>
        <v/>
      </c>
      <c r="G470" s="29"/>
      <c r="H470" s="92"/>
    </row>
    <row r="471" spans="1:8" s="5" customFormat="1" ht="12" x14ac:dyDescent="0.15">
      <c r="A471" s="25">
        <v>44452</v>
      </c>
      <c r="B471" s="24" t="s">
        <v>8</v>
      </c>
      <c r="C471" s="8"/>
      <c r="D471" s="8"/>
      <c r="E471" s="9"/>
      <c r="F471" s="14" t="str">
        <f t="shared" si="36"/>
        <v/>
      </c>
      <c r="H471" s="91">
        <f t="shared" si="35"/>
        <v>34.666666666666671</v>
      </c>
    </row>
    <row r="472" spans="1:8" s="5" customFormat="1" ht="12" x14ac:dyDescent="0.15">
      <c r="A472" s="6">
        <v>44453</v>
      </c>
      <c r="B472" s="7" t="s">
        <v>12</v>
      </c>
      <c r="C472" s="8" t="s">
        <v>10</v>
      </c>
      <c r="D472" s="8" t="s">
        <v>11</v>
      </c>
      <c r="E472" s="9"/>
      <c r="F472" s="14">
        <f t="shared" si="36"/>
        <v>8.6666666666666679</v>
      </c>
      <c r="H472" s="91"/>
    </row>
    <row r="473" spans="1:8" s="5" customFormat="1" ht="12" x14ac:dyDescent="0.15">
      <c r="A473" s="11">
        <v>44454</v>
      </c>
      <c r="B473" s="7" t="s">
        <v>12</v>
      </c>
      <c r="C473" s="8" t="s">
        <v>10</v>
      </c>
      <c r="D473" s="8" t="s">
        <v>11</v>
      </c>
      <c r="E473" s="9"/>
      <c r="F473" s="14">
        <f t="shared" si="36"/>
        <v>8.6666666666666679</v>
      </c>
      <c r="H473" s="91"/>
    </row>
    <row r="474" spans="1:8" s="5" customFormat="1" ht="12" x14ac:dyDescent="0.15">
      <c r="A474" s="6">
        <v>44455</v>
      </c>
      <c r="B474" s="7" t="s">
        <v>9</v>
      </c>
      <c r="C474" s="8" t="s">
        <v>10</v>
      </c>
      <c r="D474" s="8" t="s">
        <v>11</v>
      </c>
      <c r="E474" s="9"/>
      <c r="F474" s="14">
        <f t="shared" si="36"/>
        <v>8.6666666666666679</v>
      </c>
      <c r="H474" s="91"/>
    </row>
    <row r="475" spans="1:8" s="5" customFormat="1" ht="12" x14ac:dyDescent="0.15">
      <c r="A475" s="11">
        <v>44456</v>
      </c>
      <c r="B475" s="7" t="s">
        <v>12</v>
      </c>
      <c r="C475" s="8" t="s">
        <v>10</v>
      </c>
      <c r="D475" s="8" t="s">
        <v>11</v>
      </c>
      <c r="E475" s="9"/>
      <c r="F475" s="14">
        <f t="shared" si="36"/>
        <v>8.6666666666666679</v>
      </c>
      <c r="H475" s="91"/>
    </row>
    <row r="476" spans="1:8" s="5" customFormat="1" ht="12" x14ac:dyDescent="0.15">
      <c r="A476" s="6">
        <v>44457</v>
      </c>
      <c r="B476" s="7" t="s">
        <v>8</v>
      </c>
      <c r="C476" s="8"/>
      <c r="D476" s="8"/>
      <c r="E476" s="9"/>
      <c r="F476" s="14" t="str">
        <f t="shared" si="36"/>
        <v/>
      </c>
      <c r="H476" s="91"/>
    </row>
    <row r="477" spans="1:8" s="5" customFormat="1" ht="12" x14ac:dyDescent="0.15">
      <c r="A477" s="43">
        <v>44458</v>
      </c>
      <c r="B477" s="35" t="s">
        <v>8</v>
      </c>
      <c r="C477" s="28"/>
      <c r="D477" s="8"/>
      <c r="E477" s="9"/>
      <c r="F477" s="14" t="str">
        <f t="shared" si="36"/>
        <v/>
      </c>
      <c r="G477" s="29"/>
      <c r="H477" s="92"/>
    </row>
    <row r="478" spans="1:8" s="5" customFormat="1" ht="12" x14ac:dyDescent="0.15">
      <c r="A478" s="30">
        <v>44459</v>
      </c>
      <c r="B478" s="31" t="s">
        <v>9</v>
      </c>
      <c r="C478" s="32" t="s">
        <v>10</v>
      </c>
      <c r="D478" s="8" t="s">
        <v>11</v>
      </c>
      <c r="E478" s="9"/>
      <c r="F478" s="14">
        <f t="shared" si="36"/>
        <v>8.6666666666666679</v>
      </c>
      <c r="G478" s="33"/>
      <c r="H478" s="90">
        <f t="shared" ref="H478:H541" si="37">SUM(F478:F484)</f>
        <v>34.666666666666671</v>
      </c>
    </row>
    <row r="479" spans="1:8" s="5" customFormat="1" ht="12" x14ac:dyDescent="0.15">
      <c r="A479" s="11">
        <v>44460</v>
      </c>
      <c r="B479" s="7" t="s">
        <v>9</v>
      </c>
      <c r="C479" s="8" t="s">
        <v>10</v>
      </c>
      <c r="D479" s="8" t="s">
        <v>11</v>
      </c>
      <c r="E479" s="9"/>
      <c r="F479" s="14">
        <f t="shared" si="36"/>
        <v>8.6666666666666679</v>
      </c>
      <c r="H479" s="91"/>
    </row>
    <row r="480" spans="1:8" s="5" customFormat="1" ht="12" x14ac:dyDescent="0.15">
      <c r="A480" s="6">
        <v>44461</v>
      </c>
      <c r="B480" s="7" t="s">
        <v>8</v>
      </c>
      <c r="C480" s="8"/>
      <c r="D480" s="8"/>
      <c r="E480" s="9"/>
      <c r="F480" s="14" t="str">
        <f t="shared" si="36"/>
        <v/>
      </c>
      <c r="H480" s="91"/>
    </row>
    <row r="481" spans="1:8" s="5" customFormat="1" ht="12" x14ac:dyDescent="0.15">
      <c r="A481" s="11">
        <v>44462</v>
      </c>
      <c r="B481" s="7" t="s">
        <v>12</v>
      </c>
      <c r="C481" s="8" t="s">
        <v>10</v>
      </c>
      <c r="D481" s="8" t="s">
        <v>11</v>
      </c>
      <c r="E481" s="9"/>
      <c r="F481" s="14">
        <f t="shared" si="36"/>
        <v>8.6666666666666679</v>
      </c>
      <c r="H481" s="91"/>
    </row>
    <row r="482" spans="1:8" s="5" customFormat="1" ht="12" x14ac:dyDescent="0.15">
      <c r="A482" s="6">
        <v>44463</v>
      </c>
      <c r="B482" s="7" t="s">
        <v>12</v>
      </c>
      <c r="C482" s="8" t="s">
        <v>10</v>
      </c>
      <c r="D482" s="8" t="s">
        <v>11</v>
      </c>
      <c r="E482" s="9"/>
      <c r="F482" s="14">
        <f t="shared" si="36"/>
        <v>8.6666666666666679</v>
      </c>
      <c r="H482" s="91"/>
    </row>
    <row r="483" spans="1:8" s="5" customFormat="1" ht="12" x14ac:dyDescent="0.15">
      <c r="A483" s="11">
        <v>44464</v>
      </c>
      <c r="B483" s="7" t="s">
        <v>8</v>
      </c>
      <c r="C483" s="8"/>
      <c r="D483" s="8"/>
      <c r="E483" s="9"/>
      <c r="F483" s="14" t="str">
        <f t="shared" si="36"/>
        <v/>
      </c>
      <c r="H483" s="91"/>
    </row>
    <row r="484" spans="1:8" s="5" customFormat="1" ht="12" x14ac:dyDescent="0.15">
      <c r="A484" s="34">
        <v>44465</v>
      </c>
      <c r="B484" s="35" t="s">
        <v>8</v>
      </c>
      <c r="C484" s="28"/>
      <c r="D484" s="8"/>
      <c r="E484" s="9"/>
      <c r="F484" s="14" t="str">
        <f t="shared" si="36"/>
        <v/>
      </c>
      <c r="G484" s="29"/>
      <c r="H484" s="92"/>
    </row>
    <row r="485" spans="1:8" s="5" customFormat="1" ht="12" x14ac:dyDescent="0.15">
      <c r="A485" s="36">
        <v>44466</v>
      </c>
      <c r="B485" s="31" t="s">
        <v>12</v>
      </c>
      <c r="C485" s="32" t="s">
        <v>10</v>
      </c>
      <c r="D485" s="8" t="s">
        <v>11</v>
      </c>
      <c r="E485" s="9"/>
      <c r="F485" s="14">
        <f t="shared" si="36"/>
        <v>8.6666666666666679</v>
      </c>
      <c r="G485" s="33"/>
      <c r="H485" s="90">
        <f t="shared" si="37"/>
        <v>43.333333333333343</v>
      </c>
    </row>
    <row r="486" spans="1:8" s="5" customFormat="1" ht="12" x14ac:dyDescent="0.15">
      <c r="A486" s="6">
        <v>44467</v>
      </c>
      <c r="B486" s="7" t="s">
        <v>12</v>
      </c>
      <c r="C486" s="8" t="s">
        <v>10</v>
      </c>
      <c r="D486" s="8" t="s">
        <v>11</v>
      </c>
      <c r="E486" s="9"/>
      <c r="F486" s="14">
        <f t="shared" si="36"/>
        <v>8.6666666666666679</v>
      </c>
      <c r="H486" s="91"/>
    </row>
    <row r="487" spans="1:8" s="5" customFormat="1" ht="12" x14ac:dyDescent="0.15">
      <c r="A487" s="11">
        <v>44468</v>
      </c>
      <c r="B487" s="7" t="s">
        <v>9</v>
      </c>
      <c r="C487" s="8" t="s">
        <v>10</v>
      </c>
      <c r="D487" s="8" t="s">
        <v>11</v>
      </c>
      <c r="E487" s="9"/>
      <c r="F487" s="14">
        <f t="shared" si="36"/>
        <v>8.6666666666666679</v>
      </c>
      <c r="H487" s="91"/>
    </row>
    <row r="488" spans="1:8" s="5" customFormat="1" ht="12" x14ac:dyDescent="0.15">
      <c r="A488" s="6">
        <v>44469</v>
      </c>
      <c r="B488" s="7" t="s">
        <v>9</v>
      </c>
      <c r="C488" s="8" t="s">
        <v>10</v>
      </c>
      <c r="D488" s="8" t="s">
        <v>11</v>
      </c>
      <c r="E488" s="9"/>
      <c r="F488" s="14">
        <f t="shared" si="36"/>
        <v>8.6666666666666679</v>
      </c>
      <c r="H488" s="91"/>
    </row>
    <row r="489" spans="1:8" s="5" customFormat="1" ht="12" x14ac:dyDescent="0.15">
      <c r="A489" s="11">
        <v>44470</v>
      </c>
      <c r="B489" s="7" t="s">
        <v>9</v>
      </c>
      <c r="C489" s="8" t="s">
        <v>10</v>
      </c>
      <c r="D489" s="8" t="s">
        <v>11</v>
      </c>
      <c r="E489" s="9"/>
      <c r="F489" s="14">
        <f t="shared" si="36"/>
        <v>8.6666666666666679</v>
      </c>
      <c r="H489" s="91"/>
    </row>
    <row r="490" spans="1:8" s="5" customFormat="1" ht="12" x14ac:dyDescent="0.15">
      <c r="A490" s="6">
        <v>44471</v>
      </c>
      <c r="B490" s="7" t="s">
        <v>8</v>
      </c>
      <c r="C490" s="8"/>
      <c r="D490" s="8"/>
      <c r="E490" s="9"/>
      <c r="F490" s="14" t="str">
        <f t="shared" si="36"/>
        <v/>
      </c>
      <c r="H490" s="91"/>
    </row>
    <row r="491" spans="1:8" s="5" customFormat="1" ht="12" x14ac:dyDescent="0.15">
      <c r="A491" s="43">
        <v>44472</v>
      </c>
      <c r="B491" s="35" t="s">
        <v>8</v>
      </c>
      <c r="C491" s="28"/>
      <c r="D491" s="8"/>
      <c r="E491" s="9"/>
      <c r="F491" s="14" t="str">
        <f t="shared" si="36"/>
        <v/>
      </c>
      <c r="G491" s="29"/>
      <c r="H491" s="92"/>
    </row>
    <row r="492" spans="1:8" s="5" customFormat="1" ht="12" x14ac:dyDescent="0.15">
      <c r="A492" s="30">
        <v>44473</v>
      </c>
      <c r="B492" s="31" t="s">
        <v>8</v>
      </c>
      <c r="C492" s="32"/>
      <c r="D492" s="8"/>
      <c r="E492" s="9"/>
      <c r="F492" s="14" t="str">
        <f t="shared" si="36"/>
        <v/>
      </c>
      <c r="G492" s="33"/>
      <c r="H492" s="90">
        <f t="shared" si="37"/>
        <v>26.000000000000004</v>
      </c>
    </row>
    <row r="493" spans="1:8" s="5" customFormat="1" ht="12" x14ac:dyDescent="0.15">
      <c r="A493" s="11">
        <v>44474</v>
      </c>
      <c r="B493" s="7" t="s">
        <v>8</v>
      </c>
      <c r="C493" s="8"/>
      <c r="D493" s="8"/>
      <c r="E493" s="9"/>
      <c r="F493" s="14" t="str">
        <f t="shared" si="36"/>
        <v/>
      </c>
      <c r="H493" s="91"/>
    </row>
    <row r="494" spans="1:8" s="5" customFormat="1" ht="12" x14ac:dyDescent="0.15">
      <c r="A494" s="6">
        <v>44475</v>
      </c>
      <c r="B494" s="7" t="s">
        <v>9</v>
      </c>
      <c r="C494" s="8" t="s">
        <v>10</v>
      </c>
      <c r="D494" s="8" t="s">
        <v>11</v>
      </c>
      <c r="E494" s="9"/>
      <c r="F494" s="14">
        <f t="shared" si="36"/>
        <v>8.6666666666666679</v>
      </c>
      <c r="H494" s="91"/>
    </row>
    <row r="495" spans="1:8" s="5" customFormat="1" ht="12" x14ac:dyDescent="0.15">
      <c r="A495" s="11">
        <v>44476</v>
      </c>
      <c r="B495" s="7" t="s">
        <v>9</v>
      </c>
      <c r="C495" s="8" t="s">
        <v>10</v>
      </c>
      <c r="D495" s="8" t="s">
        <v>11</v>
      </c>
      <c r="E495" s="9"/>
      <c r="F495" s="14">
        <f t="shared" si="36"/>
        <v>8.6666666666666679</v>
      </c>
      <c r="H495" s="91"/>
    </row>
    <row r="496" spans="1:8" s="5" customFormat="1" ht="12" x14ac:dyDescent="0.15">
      <c r="A496" s="6">
        <v>44477</v>
      </c>
      <c r="B496" s="7" t="s">
        <v>9</v>
      </c>
      <c r="C496" s="8" t="s">
        <v>10</v>
      </c>
      <c r="D496" s="8" t="s">
        <v>11</v>
      </c>
      <c r="E496" s="9"/>
      <c r="F496" s="14">
        <f t="shared" si="36"/>
        <v>8.6666666666666679</v>
      </c>
      <c r="H496" s="91"/>
    </row>
    <row r="497" spans="1:8" s="5" customFormat="1" ht="12" x14ac:dyDescent="0.15">
      <c r="A497" s="11">
        <v>44478</v>
      </c>
      <c r="B497" s="7" t="s">
        <v>8</v>
      </c>
      <c r="C497" s="8"/>
      <c r="D497" s="8"/>
      <c r="E497" s="9"/>
      <c r="F497" s="14" t="str">
        <f t="shared" si="36"/>
        <v/>
      </c>
      <c r="H497" s="91"/>
    </row>
    <row r="498" spans="1:8" s="5" customFormat="1" ht="12" x14ac:dyDescent="0.15">
      <c r="A498" s="34">
        <v>44479</v>
      </c>
      <c r="B498" s="35" t="s">
        <v>8</v>
      </c>
      <c r="C498" s="28"/>
      <c r="D498" s="8"/>
      <c r="E498" s="9"/>
      <c r="F498" s="14" t="str">
        <f t="shared" si="36"/>
        <v/>
      </c>
      <c r="G498" s="29"/>
      <c r="H498" s="92"/>
    </row>
    <row r="499" spans="1:8" s="5" customFormat="1" ht="12" x14ac:dyDescent="0.15">
      <c r="A499" s="36">
        <v>44480</v>
      </c>
      <c r="B499" s="31" t="s">
        <v>12</v>
      </c>
      <c r="C499" s="32" t="s">
        <v>10</v>
      </c>
      <c r="D499" s="8" t="s">
        <v>11</v>
      </c>
      <c r="E499" s="9"/>
      <c r="F499" s="14">
        <f t="shared" si="36"/>
        <v>8.6666666666666679</v>
      </c>
      <c r="G499" s="33"/>
      <c r="H499" s="90">
        <f t="shared" si="37"/>
        <v>43.333333333333343</v>
      </c>
    </row>
    <row r="500" spans="1:8" s="5" customFormat="1" ht="12" x14ac:dyDescent="0.15">
      <c r="A500" s="6">
        <v>44481</v>
      </c>
      <c r="B500" s="7" t="s">
        <v>12</v>
      </c>
      <c r="C500" s="8" t="s">
        <v>10</v>
      </c>
      <c r="D500" s="8" t="s">
        <v>11</v>
      </c>
      <c r="E500" s="9"/>
      <c r="F500" s="14">
        <f t="shared" si="36"/>
        <v>8.6666666666666679</v>
      </c>
      <c r="H500" s="91"/>
    </row>
    <row r="501" spans="1:8" s="5" customFormat="1" ht="12" x14ac:dyDescent="0.15">
      <c r="A501" s="11">
        <v>44482</v>
      </c>
      <c r="B501" s="7" t="s">
        <v>12</v>
      </c>
      <c r="C501" s="8" t="s">
        <v>10</v>
      </c>
      <c r="D501" s="8" t="s">
        <v>11</v>
      </c>
      <c r="E501" s="9"/>
      <c r="F501" s="14">
        <f t="shared" si="36"/>
        <v>8.6666666666666679</v>
      </c>
      <c r="H501" s="91"/>
    </row>
    <row r="502" spans="1:8" s="5" customFormat="1" ht="12" x14ac:dyDescent="0.15">
      <c r="A502" s="6">
        <v>44483</v>
      </c>
      <c r="B502" s="7" t="s">
        <v>9</v>
      </c>
      <c r="C502" s="8" t="s">
        <v>10</v>
      </c>
      <c r="D502" s="8" t="s">
        <v>11</v>
      </c>
      <c r="E502" s="9"/>
      <c r="F502" s="14">
        <f t="shared" si="36"/>
        <v>8.6666666666666679</v>
      </c>
      <c r="H502" s="91"/>
    </row>
    <row r="503" spans="1:8" s="5" customFormat="1" ht="12" x14ac:dyDescent="0.15">
      <c r="A503" s="11">
        <v>44484</v>
      </c>
      <c r="B503" s="7" t="s">
        <v>9</v>
      </c>
      <c r="C503" s="8" t="s">
        <v>10</v>
      </c>
      <c r="D503" s="8" t="s">
        <v>11</v>
      </c>
      <c r="E503" s="9"/>
      <c r="F503" s="14">
        <f t="shared" si="36"/>
        <v>8.6666666666666679</v>
      </c>
      <c r="H503" s="91"/>
    </row>
    <row r="504" spans="1:8" s="5" customFormat="1" ht="12" x14ac:dyDescent="0.15">
      <c r="A504" s="6">
        <v>44485</v>
      </c>
      <c r="B504" s="7" t="s">
        <v>8</v>
      </c>
      <c r="C504" s="8"/>
      <c r="D504" s="8"/>
      <c r="E504" s="9"/>
      <c r="F504" s="14" t="str">
        <f t="shared" si="36"/>
        <v/>
      </c>
      <c r="H504" s="91"/>
    </row>
    <row r="505" spans="1:8" s="5" customFormat="1" ht="12" x14ac:dyDescent="0.15">
      <c r="A505" s="11">
        <v>44486</v>
      </c>
      <c r="B505" s="7" t="s">
        <v>8</v>
      </c>
      <c r="C505" s="8"/>
      <c r="D505" s="8"/>
      <c r="E505" s="9"/>
      <c r="F505" s="14" t="str">
        <f t="shared" si="36"/>
        <v/>
      </c>
      <c r="H505" s="91"/>
    </row>
    <row r="506" spans="1:8" s="5" customFormat="1" ht="12" x14ac:dyDescent="0.15">
      <c r="A506" s="30">
        <v>44487</v>
      </c>
      <c r="B506" s="31" t="s">
        <v>8</v>
      </c>
      <c r="C506" s="32"/>
      <c r="D506" s="8"/>
      <c r="E506" s="9"/>
      <c r="F506" s="14" t="str">
        <f t="shared" si="36"/>
        <v/>
      </c>
      <c r="G506" s="33"/>
      <c r="H506" s="90">
        <f t="shared" si="37"/>
        <v>26.000000000000004</v>
      </c>
    </row>
    <row r="507" spans="1:8" s="5" customFormat="1" ht="12" x14ac:dyDescent="0.15">
      <c r="A507" s="11">
        <v>44488</v>
      </c>
      <c r="B507" s="7" t="s">
        <v>8</v>
      </c>
      <c r="C507" s="8"/>
      <c r="D507" s="8"/>
      <c r="E507" s="9"/>
      <c r="F507" s="14" t="str">
        <f t="shared" si="36"/>
        <v/>
      </c>
      <c r="H507" s="91"/>
    </row>
    <row r="508" spans="1:8" s="5" customFormat="1" ht="12" x14ac:dyDescent="0.15">
      <c r="A508" s="6">
        <v>44489</v>
      </c>
      <c r="B508" s="7" t="s">
        <v>9</v>
      </c>
      <c r="C508" s="8" t="s">
        <v>10</v>
      </c>
      <c r="D508" s="8" t="s">
        <v>11</v>
      </c>
      <c r="E508" s="9"/>
      <c r="F508" s="14">
        <f t="shared" si="36"/>
        <v>8.6666666666666679</v>
      </c>
      <c r="H508" s="91"/>
    </row>
    <row r="509" spans="1:8" s="5" customFormat="1" ht="12" x14ac:dyDescent="0.15">
      <c r="A509" s="11">
        <v>44490</v>
      </c>
      <c r="B509" s="7" t="s">
        <v>12</v>
      </c>
      <c r="C509" s="8" t="s">
        <v>10</v>
      </c>
      <c r="D509" s="8" t="s">
        <v>11</v>
      </c>
      <c r="E509" s="9"/>
      <c r="F509" s="14">
        <f t="shared" si="36"/>
        <v>8.6666666666666679</v>
      </c>
      <c r="H509" s="91"/>
    </row>
    <row r="510" spans="1:8" s="5" customFormat="1" ht="12" x14ac:dyDescent="0.15">
      <c r="A510" s="6">
        <v>44491</v>
      </c>
      <c r="B510" s="7" t="s">
        <v>12</v>
      </c>
      <c r="C510" s="8" t="s">
        <v>10</v>
      </c>
      <c r="D510" s="8" t="s">
        <v>11</v>
      </c>
      <c r="E510" s="9"/>
      <c r="F510" s="14">
        <f t="shared" si="36"/>
        <v>8.6666666666666679</v>
      </c>
      <c r="H510" s="91"/>
    </row>
    <row r="511" spans="1:8" s="5" customFormat="1" ht="12" x14ac:dyDescent="0.15">
      <c r="A511" s="11">
        <v>44492</v>
      </c>
      <c r="B511" s="7" t="s">
        <v>8</v>
      </c>
      <c r="C511" s="8"/>
      <c r="D511" s="8"/>
      <c r="E511" s="9"/>
      <c r="F511" s="14" t="str">
        <f t="shared" si="36"/>
        <v/>
      </c>
      <c r="H511" s="91"/>
    </row>
    <row r="512" spans="1:8" s="5" customFormat="1" ht="12" x14ac:dyDescent="0.15">
      <c r="A512" s="34">
        <v>44493</v>
      </c>
      <c r="B512" s="35" t="s">
        <v>8</v>
      </c>
      <c r="C512" s="28"/>
      <c r="D512" s="8"/>
      <c r="E512" s="9"/>
      <c r="F512" s="14" t="str">
        <f t="shared" si="36"/>
        <v/>
      </c>
      <c r="G512" s="29"/>
      <c r="H512" s="92"/>
    </row>
    <row r="513" spans="1:8" s="5" customFormat="1" ht="12" x14ac:dyDescent="0.15">
      <c r="A513" s="36">
        <v>44494</v>
      </c>
      <c r="B513" s="31" t="s">
        <v>9</v>
      </c>
      <c r="C513" s="32" t="s">
        <v>10</v>
      </c>
      <c r="D513" s="8" t="s">
        <v>11</v>
      </c>
      <c r="E513" s="9"/>
      <c r="F513" s="14">
        <f t="shared" si="36"/>
        <v>8.6666666666666679</v>
      </c>
      <c r="G513" s="33"/>
      <c r="H513" s="90">
        <f t="shared" si="37"/>
        <v>43.333333333333343</v>
      </c>
    </row>
    <row r="514" spans="1:8" s="5" customFormat="1" ht="12" x14ac:dyDescent="0.15">
      <c r="A514" s="6">
        <v>44495</v>
      </c>
      <c r="B514" s="7" t="s">
        <v>12</v>
      </c>
      <c r="C514" s="8" t="s">
        <v>10</v>
      </c>
      <c r="D514" s="8" t="s">
        <v>11</v>
      </c>
      <c r="E514" s="9"/>
      <c r="F514" s="14">
        <f t="shared" si="36"/>
        <v>8.6666666666666679</v>
      </c>
      <c r="H514" s="91"/>
    </row>
    <row r="515" spans="1:8" s="5" customFormat="1" ht="12" x14ac:dyDescent="0.15">
      <c r="A515" s="11">
        <v>44496</v>
      </c>
      <c r="B515" s="7" t="s">
        <v>12</v>
      </c>
      <c r="C515" s="8" t="s">
        <v>10</v>
      </c>
      <c r="D515" s="8" t="s">
        <v>11</v>
      </c>
      <c r="E515" s="9"/>
      <c r="F515" s="14">
        <f t="shared" si="36"/>
        <v>8.6666666666666679</v>
      </c>
      <c r="H515" s="91"/>
    </row>
    <row r="516" spans="1:8" s="5" customFormat="1" ht="12" x14ac:dyDescent="0.15">
      <c r="A516" s="6">
        <v>44497</v>
      </c>
      <c r="B516" s="7" t="s">
        <v>9</v>
      </c>
      <c r="C516" s="8" t="s">
        <v>10</v>
      </c>
      <c r="D516" s="8" t="s">
        <v>11</v>
      </c>
      <c r="E516" s="9"/>
      <c r="F516" s="14">
        <f t="shared" si="36"/>
        <v>8.6666666666666679</v>
      </c>
      <c r="H516" s="91"/>
    </row>
    <row r="517" spans="1:8" s="5" customFormat="1" ht="12" x14ac:dyDescent="0.15">
      <c r="A517" s="11">
        <v>44498</v>
      </c>
      <c r="B517" s="7" t="s">
        <v>9</v>
      </c>
      <c r="C517" s="8" t="s">
        <v>10</v>
      </c>
      <c r="D517" s="8" t="s">
        <v>11</v>
      </c>
      <c r="E517" s="9"/>
      <c r="F517" s="14">
        <f t="shared" ref="F517:F580" si="38">IF(C517="", "", IF(D517="", "", (D517-C517)*24 - E517))</f>
        <v>8.6666666666666679</v>
      </c>
      <c r="H517" s="91"/>
    </row>
    <row r="518" spans="1:8" s="5" customFormat="1" ht="12" x14ac:dyDescent="0.15">
      <c r="A518" s="6">
        <v>44499</v>
      </c>
      <c r="B518" s="7" t="s">
        <v>8</v>
      </c>
      <c r="C518" s="8"/>
      <c r="D518" s="8"/>
      <c r="E518" s="9"/>
      <c r="F518" s="14" t="str">
        <f t="shared" si="38"/>
        <v/>
      </c>
      <c r="H518" s="91"/>
    </row>
    <row r="519" spans="1:8" s="5" customFormat="1" ht="12" x14ac:dyDescent="0.15">
      <c r="A519" s="43">
        <v>44500</v>
      </c>
      <c r="B519" s="35" t="s">
        <v>8</v>
      </c>
      <c r="C519" s="28"/>
      <c r="D519" s="8"/>
      <c r="E519" s="9"/>
      <c r="F519" s="14" t="str">
        <f t="shared" si="38"/>
        <v/>
      </c>
      <c r="G519" s="29"/>
      <c r="H519" s="92"/>
    </row>
    <row r="520" spans="1:8" s="5" customFormat="1" ht="12" x14ac:dyDescent="0.15">
      <c r="A520" s="30">
        <v>44501</v>
      </c>
      <c r="B520" s="31" t="s">
        <v>8</v>
      </c>
      <c r="C520" s="32"/>
      <c r="D520" s="8"/>
      <c r="E520" s="9"/>
      <c r="F520" s="14" t="str">
        <f t="shared" si="38"/>
        <v/>
      </c>
      <c r="G520" s="33"/>
      <c r="H520" s="90">
        <f t="shared" si="37"/>
        <v>34.666666666666671</v>
      </c>
    </row>
    <row r="521" spans="1:8" s="5" customFormat="1" ht="12" x14ac:dyDescent="0.15">
      <c r="A521" s="11">
        <v>44502</v>
      </c>
      <c r="B521" s="7" t="s">
        <v>9</v>
      </c>
      <c r="C521" s="8" t="s">
        <v>10</v>
      </c>
      <c r="D521" s="8" t="s">
        <v>11</v>
      </c>
      <c r="E521" s="9"/>
      <c r="F521" s="14">
        <f t="shared" si="38"/>
        <v>8.6666666666666679</v>
      </c>
      <c r="H521" s="91"/>
    </row>
    <row r="522" spans="1:8" s="5" customFormat="1" ht="12" x14ac:dyDescent="0.15">
      <c r="A522" s="6">
        <v>44503</v>
      </c>
      <c r="B522" s="7" t="s">
        <v>9</v>
      </c>
      <c r="C522" s="8" t="s">
        <v>10</v>
      </c>
      <c r="D522" s="8" t="s">
        <v>11</v>
      </c>
      <c r="E522" s="9"/>
      <c r="F522" s="14">
        <f t="shared" si="38"/>
        <v>8.6666666666666679</v>
      </c>
      <c r="H522" s="91"/>
    </row>
    <row r="523" spans="1:8" s="5" customFormat="1" ht="12" x14ac:dyDescent="0.15">
      <c r="A523" s="11">
        <v>44504</v>
      </c>
      <c r="B523" s="7" t="s">
        <v>9</v>
      </c>
      <c r="C523" s="8" t="s">
        <v>10</v>
      </c>
      <c r="D523" s="8" t="s">
        <v>11</v>
      </c>
      <c r="E523" s="9"/>
      <c r="F523" s="14">
        <f t="shared" si="38"/>
        <v>8.6666666666666679</v>
      </c>
      <c r="H523" s="91"/>
    </row>
    <row r="524" spans="1:8" s="5" customFormat="1" ht="12" x14ac:dyDescent="0.15">
      <c r="A524" s="6">
        <v>44505</v>
      </c>
      <c r="B524" s="7" t="s">
        <v>12</v>
      </c>
      <c r="C524" s="8" t="s">
        <v>10</v>
      </c>
      <c r="D524" s="8" t="s">
        <v>11</v>
      </c>
      <c r="E524" s="9"/>
      <c r="F524" s="14">
        <f t="shared" si="38"/>
        <v>8.6666666666666679</v>
      </c>
      <c r="H524" s="91"/>
    </row>
    <row r="525" spans="1:8" s="5" customFormat="1" ht="12" x14ac:dyDescent="0.15">
      <c r="A525" s="11">
        <v>44506</v>
      </c>
      <c r="B525" s="7" t="s">
        <v>8</v>
      </c>
      <c r="C525" s="8"/>
      <c r="D525" s="8"/>
      <c r="E525" s="9"/>
      <c r="F525" s="14" t="str">
        <f t="shared" si="38"/>
        <v/>
      </c>
      <c r="H525" s="91"/>
    </row>
    <row r="526" spans="1:8" s="5" customFormat="1" ht="12" x14ac:dyDescent="0.15">
      <c r="A526" s="34">
        <v>44507</v>
      </c>
      <c r="B526" s="35" t="s">
        <v>8</v>
      </c>
      <c r="C526" s="28"/>
      <c r="D526" s="8"/>
      <c r="E526" s="9"/>
      <c r="F526" s="14" t="str">
        <f t="shared" si="38"/>
        <v/>
      </c>
      <c r="G526" s="29"/>
      <c r="H526" s="92"/>
    </row>
    <row r="527" spans="1:8" s="5" customFormat="1" ht="12" x14ac:dyDescent="0.15">
      <c r="A527" s="36">
        <v>44508</v>
      </c>
      <c r="B527" s="31" t="s">
        <v>8</v>
      </c>
      <c r="C527" s="32"/>
      <c r="D527" s="8"/>
      <c r="E527" s="9"/>
      <c r="F527" s="14" t="str">
        <f t="shared" si="38"/>
        <v/>
      </c>
      <c r="G527" s="33"/>
      <c r="H527" s="90">
        <f t="shared" si="37"/>
        <v>34.666666666666671</v>
      </c>
    </row>
    <row r="528" spans="1:8" s="5" customFormat="1" ht="12" x14ac:dyDescent="0.15">
      <c r="A528" s="6">
        <v>44509</v>
      </c>
      <c r="B528" s="7" t="s">
        <v>12</v>
      </c>
      <c r="C528" s="8" t="s">
        <v>10</v>
      </c>
      <c r="D528" s="8" t="s">
        <v>11</v>
      </c>
      <c r="E528" s="9"/>
      <c r="F528" s="14">
        <f t="shared" si="38"/>
        <v>8.6666666666666679</v>
      </c>
      <c r="H528" s="91"/>
    </row>
    <row r="529" spans="1:8" s="5" customFormat="1" ht="12" x14ac:dyDescent="0.15">
      <c r="A529" s="11">
        <v>44510</v>
      </c>
      <c r="B529" s="7" t="s">
        <v>12</v>
      </c>
      <c r="C529" s="8" t="s">
        <v>10</v>
      </c>
      <c r="D529" s="8" t="s">
        <v>11</v>
      </c>
      <c r="E529" s="9"/>
      <c r="F529" s="14">
        <f t="shared" si="38"/>
        <v>8.6666666666666679</v>
      </c>
      <c r="H529" s="91"/>
    </row>
    <row r="530" spans="1:8" s="5" customFormat="1" ht="12" x14ac:dyDescent="0.15">
      <c r="A530" s="6">
        <v>44511</v>
      </c>
      <c r="B530" s="7" t="s">
        <v>9</v>
      </c>
      <c r="C530" s="8" t="s">
        <v>10</v>
      </c>
      <c r="D530" s="8" t="s">
        <v>11</v>
      </c>
      <c r="E530" s="9"/>
      <c r="F530" s="14">
        <f t="shared" si="38"/>
        <v>8.6666666666666679</v>
      </c>
      <c r="H530" s="91"/>
    </row>
    <row r="531" spans="1:8" s="5" customFormat="1" ht="12" x14ac:dyDescent="0.15">
      <c r="A531" s="11">
        <v>44512</v>
      </c>
      <c r="B531" s="7" t="s">
        <v>9</v>
      </c>
      <c r="C531" s="8" t="s">
        <v>10</v>
      </c>
      <c r="D531" s="8" t="s">
        <v>11</v>
      </c>
      <c r="E531" s="9"/>
      <c r="F531" s="14">
        <f t="shared" si="38"/>
        <v>8.6666666666666679</v>
      </c>
      <c r="H531" s="91"/>
    </row>
    <row r="532" spans="1:8" s="5" customFormat="1" ht="12" x14ac:dyDescent="0.15">
      <c r="A532" s="6">
        <v>44513</v>
      </c>
      <c r="B532" s="7" t="s">
        <v>8</v>
      </c>
      <c r="C532" s="8"/>
      <c r="D532" s="8"/>
      <c r="E532" s="9"/>
      <c r="F532" s="14" t="str">
        <f t="shared" si="38"/>
        <v/>
      </c>
      <c r="H532" s="91"/>
    </row>
    <row r="533" spans="1:8" s="5" customFormat="1" ht="12" x14ac:dyDescent="0.15">
      <c r="A533" s="43">
        <v>44514</v>
      </c>
      <c r="B533" s="35" t="s">
        <v>8</v>
      </c>
      <c r="C533" s="28"/>
      <c r="D533" s="8"/>
      <c r="E533" s="9"/>
      <c r="F533" s="14" t="str">
        <f t="shared" si="38"/>
        <v/>
      </c>
      <c r="G533" s="29"/>
      <c r="H533" s="92"/>
    </row>
    <row r="534" spans="1:8" s="5" customFormat="1" ht="12" x14ac:dyDescent="0.15">
      <c r="A534" s="30">
        <v>44515</v>
      </c>
      <c r="B534" s="31" t="s">
        <v>9</v>
      </c>
      <c r="C534" s="32" t="s">
        <v>10</v>
      </c>
      <c r="D534" s="8" t="s">
        <v>11</v>
      </c>
      <c r="E534" s="9"/>
      <c r="F534" s="14">
        <f t="shared" si="38"/>
        <v>8.6666666666666679</v>
      </c>
      <c r="G534" s="33"/>
      <c r="H534" s="90">
        <f t="shared" si="37"/>
        <v>34.666666666666671</v>
      </c>
    </row>
    <row r="535" spans="1:8" s="5" customFormat="1" ht="12" x14ac:dyDescent="0.15">
      <c r="A535" s="11">
        <v>44516</v>
      </c>
      <c r="B535" s="7" t="s">
        <v>9</v>
      </c>
      <c r="C535" s="8" t="s">
        <v>10</v>
      </c>
      <c r="D535" s="8" t="s">
        <v>11</v>
      </c>
      <c r="E535" s="9"/>
      <c r="F535" s="14">
        <f t="shared" si="38"/>
        <v>8.6666666666666679</v>
      </c>
      <c r="H535" s="91"/>
    </row>
    <row r="536" spans="1:8" s="5" customFormat="1" ht="12" x14ac:dyDescent="0.15">
      <c r="A536" s="6">
        <v>44517</v>
      </c>
      <c r="B536" s="7" t="s">
        <v>12</v>
      </c>
      <c r="C536" s="8" t="s">
        <v>10</v>
      </c>
      <c r="D536" s="8" t="s">
        <v>11</v>
      </c>
      <c r="E536" s="9"/>
      <c r="F536" s="14">
        <f t="shared" si="38"/>
        <v>8.6666666666666679</v>
      </c>
      <c r="H536" s="91"/>
    </row>
    <row r="537" spans="1:8" s="5" customFormat="1" ht="12" x14ac:dyDescent="0.15">
      <c r="A537" s="11">
        <v>44518</v>
      </c>
      <c r="B537" s="7" t="s">
        <v>8</v>
      </c>
      <c r="C537" s="8"/>
      <c r="D537" s="8"/>
      <c r="E537" s="9"/>
      <c r="F537" s="14" t="str">
        <f t="shared" si="38"/>
        <v/>
      </c>
      <c r="H537" s="91"/>
    </row>
    <row r="538" spans="1:8" s="5" customFormat="1" ht="12" x14ac:dyDescent="0.15">
      <c r="A538" s="6">
        <v>44519</v>
      </c>
      <c r="B538" s="7" t="s">
        <v>12</v>
      </c>
      <c r="C538" s="8" t="s">
        <v>10</v>
      </c>
      <c r="D538" s="8" t="s">
        <v>11</v>
      </c>
      <c r="E538" s="9"/>
      <c r="F538" s="14">
        <f t="shared" si="38"/>
        <v>8.6666666666666679</v>
      </c>
      <c r="H538" s="91"/>
    </row>
    <row r="539" spans="1:8" s="5" customFormat="1" ht="12" x14ac:dyDescent="0.15">
      <c r="A539" s="11">
        <v>44520</v>
      </c>
      <c r="B539" s="7" t="s">
        <v>8</v>
      </c>
      <c r="C539" s="8"/>
      <c r="D539" s="8"/>
      <c r="E539" s="9"/>
      <c r="F539" s="14" t="str">
        <f t="shared" si="38"/>
        <v/>
      </c>
      <c r="H539" s="91"/>
    </row>
    <row r="540" spans="1:8" s="5" customFormat="1" ht="12" x14ac:dyDescent="0.15">
      <c r="A540" s="34">
        <v>44521</v>
      </c>
      <c r="B540" s="35" t="s">
        <v>8</v>
      </c>
      <c r="C540" s="28"/>
      <c r="D540" s="8"/>
      <c r="E540" s="9"/>
      <c r="F540" s="14" t="str">
        <f t="shared" si="38"/>
        <v/>
      </c>
      <c r="G540" s="29"/>
      <c r="H540" s="92"/>
    </row>
    <row r="541" spans="1:8" s="5" customFormat="1" ht="12" x14ac:dyDescent="0.15">
      <c r="A541" s="36">
        <v>44522</v>
      </c>
      <c r="B541" s="31" t="s">
        <v>8</v>
      </c>
      <c r="C541" s="32"/>
      <c r="D541" s="8"/>
      <c r="E541" s="9"/>
      <c r="F541" s="14" t="str">
        <f t="shared" si="38"/>
        <v/>
      </c>
      <c r="G541" s="33"/>
      <c r="H541" s="90">
        <f t="shared" si="37"/>
        <v>0</v>
      </c>
    </row>
    <row r="542" spans="1:8" s="5" customFormat="1" ht="12" x14ac:dyDescent="0.15">
      <c r="A542" s="6">
        <v>44523</v>
      </c>
      <c r="B542" s="7" t="s">
        <v>8</v>
      </c>
      <c r="C542" s="8"/>
      <c r="D542" s="8"/>
      <c r="E542" s="9"/>
      <c r="F542" s="14" t="str">
        <f t="shared" si="38"/>
        <v/>
      </c>
      <c r="H542" s="91"/>
    </row>
    <row r="543" spans="1:8" s="5" customFormat="1" ht="12" x14ac:dyDescent="0.15">
      <c r="A543" s="11">
        <v>44524</v>
      </c>
      <c r="B543" s="7" t="s">
        <v>8</v>
      </c>
      <c r="C543" s="8"/>
      <c r="D543" s="8"/>
      <c r="E543" s="9"/>
      <c r="F543" s="14" t="str">
        <f t="shared" si="38"/>
        <v/>
      </c>
      <c r="H543" s="91"/>
    </row>
    <row r="544" spans="1:8" s="5" customFormat="1" ht="12" x14ac:dyDescent="0.15">
      <c r="A544" s="6">
        <v>44525</v>
      </c>
      <c r="B544" s="7" t="s">
        <v>8</v>
      </c>
      <c r="C544" s="8"/>
      <c r="D544" s="8"/>
      <c r="E544" s="9"/>
      <c r="F544" s="14" t="str">
        <f t="shared" si="38"/>
        <v/>
      </c>
      <c r="H544" s="91"/>
    </row>
    <row r="545" spans="1:8" s="5" customFormat="1" ht="12" x14ac:dyDescent="0.15">
      <c r="A545" s="11">
        <v>44526</v>
      </c>
      <c r="B545" s="7" t="s">
        <v>8</v>
      </c>
      <c r="C545" s="8"/>
      <c r="D545" s="8"/>
      <c r="E545" s="9"/>
      <c r="F545" s="14" t="str">
        <f t="shared" si="38"/>
        <v/>
      </c>
      <c r="H545" s="91"/>
    </row>
    <row r="546" spans="1:8" s="5" customFormat="1" ht="12" x14ac:dyDescent="0.15">
      <c r="A546" s="6">
        <v>44527</v>
      </c>
      <c r="B546" s="7" t="s">
        <v>8</v>
      </c>
      <c r="C546" s="8"/>
      <c r="D546" s="8"/>
      <c r="E546" s="9"/>
      <c r="F546" s="14" t="str">
        <f t="shared" si="38"/>
        <v/>
      </c>
      <c r="H546" s="91"/>
    </row>
    <row r="547" spans="1:8" s="5" customFormat="1" ht="12" x14ac:dyDescent="0.15">
      <c r="A547" s="43">
        <v>44528</v>
      </c>
      <c r="B547" s="35" t="s">
        <v>8</v>
      </c>
      <c r="C547" s="28"/>
      <c r="D547" s="8"/>
      <c r="E547" s="9"/>
      <c r="F547" s="14" t="str">
        <f t="shared" si="38"/>
        <v/>
      </c>
      <c r="G547" s="29"/>
      <c r="H547" s="92"/>
    </row>
    <row r="548" spans="1:8" s="5" customFormat="1" ht="12" x14ac:dyDescent="0.15">
      <c r="A548" s="30">
        <v>44529</v>
      </c>
      <c r="B548" s="31" t="s">
        <v>9</v>
      </c>
      <c r="C548" s="32" t="s">
        <v>10</v>
      </c>
      <c r="D548" s="8" t="s">
        <v>11</v>
      </c>
      <c r="E548" s="9"/>
      <c r="F548" s="14">
        <f t="shared" si="38"/>
        <v>8.6666666666666679</v>
      </c>
      <c r="G548" s="33"/>
      <c r="H548" s="90">
        <f t="shared" ref="H548:H611" si="39">SUM(F548:F554)</f>
        <v>43.333333333333343</v>
      </c>
    </row>
    <row r="549" spans="1:8" s="5" customFormat="1" ht="12" x14ac:dyDescent="0.15">
      <c r="A549" s="11">
        <v>44530</v>
      </c>
      <c r="B549" s="7" t="s">
        <v>9</v>
      </c>
      <c r="C549" s="8" t="s">
        <v>10</v>
      </c>
      <c r="D549" s="8" t="s">
        <v>11</v>
      </c>
      <c r="E549" s="9"/>
      <c r="F549" s="14">
        <f t="shared" si="38"/>
        <v>8.6666666666666679</v>
      </c>
      <c r="H549" s="91"/>
    </row>
    <row r="550" spans="1:8" s="5" customFormat="1" ht="12" x14ac:dyDescent="0.15">
      <c r="A550" s="6">
        <v>44531</v>
      </c>
      <c r="B550" s="7" t="s">
        <v>12</v>
      </c>
      <c r="C550" s="8" t="s">
        <v>10</v>
      </c>
      <c r="D550" s="8" t="s">
        <v>11</v>
      </c>
      <c r="E550" s="9"/>
      <c r="F550" s="14">
        <f t="shared" si="38"/>
        <v>8.6666666666666679</v>
      </c>
      <c r="H550" s="91"/>
    </row>
    <row r="551" spans="1:8" s="5" customFormat="1" ht="12" x14ac:dyDescent="0.15">
      <c r="A551" s="11">
        <v>44532</v>
      </c>
      <c r="B551" s="7" t="s">
        <v>12</v>
      </c>
      <c r="C551" s="8" t="s">
        <v>10</v>
      </c>
      <c r="D551" s="8" t="s">
        <v>11</v>
      </c>
      <c r="E551" s="9"/>
      <c r="F551" s="14">
        <f t="shared" si="38"/>
        <v>8.6666666666666679</v>
      </c>
      <c r="H551" s="91"/>
    </row>
    <row r="552" spans="1:8" s="5" customFormat="1" ht="12" x14ac:dyDescent="0.15">
      <c r="A552" s="6">
        <v>44533</v>
      </c>
      <c r="B552" s="7" t="s">
        <v>12</v>
      </c>
      <c r="C552" s="8" t="s">
        <v>10</v>
      </c>
      <c r="D552" s="8" t="s">
        <v>11</v>
      </c>
      <c r="E552" s="9"/>
      <c r="F552" s="14">
        <f t="shared" si="38"/>
        <v>8.6666666666666679</v>
      </c>
      <c r="H552" s="91"/>
    </row>
    <row r="553" spans="1:8" s="5" customFormat="1" ht="12" x14ac:dyDescent="0.15">
      <c r="A553" s="11">
        <v>44534</v>
      </c>
      <c r="B553" s="7" t="s">
        <v>8</v>
      </c>
      <c r="C553" s="8"/>
      <c r="D553" s="8"/>
      <c r="E553" s="9"/>
      <c r="F553" s="14" t="str">
        <f t="shared" si="38"/>
        <v/>
      </c>
      <c r="H553" s="91"/>
    </row>
    <row r="554" spans="1:8" s="5" customFormat="1" ht="12" x14ac:dyDescent="0.15">
      <c r="A554" s="34">
        <v>44535</v>
      </c>
      <c r="B554" s="35" t="s">
        <v>8</v>
      </c>
      <c r="C554" s="28"/>
      <c r="D554" s="8"/>
      <c r="E554" s="9"/>
      <c r="F554" s="14" t="str">
        <f t="shared" si="38"/>
        <v/>
      </c>
      <c r="G554" s="29"/>
      <c r="H554" s="92"/>
    </row>
    <row r="555" spans="1:8" s="5" customFormat="1" ht="12" x14ac:dyDescent="0.15">
      <c r="A555" s="36">
        <v>44536</v>
      </c>
      <c r="B555" s="31" t="s">
        <v>9</v>
      </c>
      <c r="C555" s="32" t="s">
        <v>10</v>
      </c>
      <c r="D555" s="8" t="s">
        <v>11</v>
      </c>
      <c r="E555" s="9"/>
      <c r="F555" s="14">
        <f t="shared" si="38"/>
        <v>8.6666666666666679</v>
      </c>
      <c r="G555" s="33"/>
      <c r="H555" s="90">
        <f t="shared" si="39"/>
        <v>34.666666666666671</v>
      </c>
    </row>
    <row r="556" spans="1:8" s="5" customFormat="1" ht="12" x14ac:dyDescent="0.15">
      <c r="A556" s="6">
        <v>44537</v>
      </c>
      <c r="B556" s="7" t="s">
        <v>9</v>
      </c>
      <c r="C556" s="8" t="s">
        <v>10</v>
      </c>
      <c r="D556" s="8" t="s">
        <v>11</v>
      </c>
      <c r="E556" s="9"/>
      <c r="F556" s="14">
        <f t="shared" si="38"/>
        <v>8.6666666666666679</v>
      </c>
      <c r="H556" s="91"/>
    </row>
    <row r="557" spans="1:8" s="5" customFormat="1" ht="12" x14ac:dyDescent="0.15">
      <c r="A557" s="11">
        <v>44538</v>
      </c>
      <c r="B557" s="7" t="s">
        <v>8</v>
      </c>
      <c r="C557" s="8"/>
      <c r="D557" s="8"/>
      <c r="E557" s="9"/>
      <c r="F557" s="14" t="str">
        <f t="shared" si="38"/>
        <v/>
      </c>
      <c r="H557" s="91"/>
    </row>
    <row r="558" spans="1:8" s="5" customFormat="1" ht="12" x14ac:dyDescent="0.15">
      <c r="A558" s="6">
        <v>44539</v>
      </c>
      <c r="B558" s="7" t="s">
        <v>12</v>
      </c>
      <c r="C558" s="8" t="s">
        <v>10</v>
      </c>
      <c r="D558" s="8" t="s">
        <v>11</v>
      </c>
      <c r="E558" s="9"/>
      <c r="F558" s="14">
        <f t="shared" si="38"/>
        <v>8.6666666666666679</v>
      </c>
      <c r="H558" s="91"/>
    </row>
    <row r="559" spans="1:8" s="5" customFormat="1" ht="12" x14ac:dyDescent="0.15">
      <c r="A559" s="11">
        <v>44540</v>
      </c>
      <c r="B559" s="7" t="s">
        <v>12</v>
      </c>
      <c r="C559" s="8" t="s">
        <v>10</v>
      </c>
      <c r="D559" s="8" t="s">
        <v>11</v>
      </c>
      <c r="E559" s="9"/>
      <c r="F559" s="14">
        <f t="shared" si="38"/>
        <v>8.6666666666666679</v>
      </c>
      <c r="H559" s="91"/>
    </row>
    <row r="560" spans="1:8" s="5" customFormat="1" ht="12" x14ac:dyDescent="0.15">
      <c r="A560" s="6">
        <v>44541</v>
      </c>
      <c r="B560" s="7" t="s">
        <v>8</v>
      </c>
      <c r="C560" s="8"/>
      <c r="D560" s="8"/>
      <c r="E560" s="9"/>
      <c r="F560" s="14" t="str">
        <f t="shared" si="38"/>
        <v/>
      </c>
      <c r="H560" s="91"/>
    </row>
    <row r="561" spans="1:8" s="5" customFormat="1" ht="12" x14ac:dyDescent="0.15">
      <c r="A561" s="43">
        <v>44542</v>
      </c>
      <c r="B561" s="35" t="s">
        <v>8</v>
      </c>
      <c r="C561" s="28"/>
      <c r="D561" s="8"/>
      <c r="E561" s="9"/>
      <c r="F561" s="14" t="str">
        <f t="shared" si="38"/>
        <v/>
      </c>
      <c r="G561" s="29"/>
      <c r="H561" s="92"/>
    </row>
    <row r="562" spans="1:8" s="5" customFormat="1" ht="12" x14ac:dyDescent="0.15">
      <c r="A562" s="30">
        <v>44543</v>
      </c>
      <c r="B562" s="31" t="s">
        <v>9</v>
      </c>
      <c r="C562" s="32" t="s">
        <v>10</v>
      </c>
      <c r="D562" s="8" t="s">
        <v>11</v>
      </c>
      <c r="E562" s="9"/>
      <c r="F562" s="14">
        <f t="shared" si="38"/>
        <v>8.6666666666666679</v>
      </c>
      <c r="G562" s="33"/>
      <c r="H562" s="90">
        <f t="shared" si="39"/>
        <v>43.333333333333343</v>
      </c>
    </row>
    <row r="563" spans="1:8" s="5" customFormat="1" ht="12" x14ac:dyDescent="0.15">
      <c r="A563" s="11">
        <v>44544</v>
      </c>
      <c r="B563" s="7" t="s">
        <v>9</v>
      </c>
      <c r="C563" s="8" t="s">
        <v>10</v>
      </c>
      <c r="D563" s="8" t="s">
        <v>11</v>
      </c>
      <c r="E563" s="9"/>
      <c r="F563" s="14">
        <f t="shared" si="38"/>
        <v>8.6666666666666679</v>
      </c>
      <c r="H563" s="91"/>
    </row>
    <row r="564" spans="1:8" s="5" customFormat="1" ht="12" x14ac:dyDescent="0.15">
      <c r="A564" s="6">
        <v>44545</v>
      </c>
      <c r="B564" s="7" t="s">
        <v>12</v>
      </c>
      <c r="C564" s="8" t="s">
        <v>10</v>
      </c>
      <c r="D564" s="8" t="s">
        <v>11</v>
      </c>
      <c r="E564" s="9"/>
      <c r="F564" s="14">
        <f t="shared" si="38"/>
        <v>8.6666666666666679</v>
      </c>
      <c r="H564" s="91"/>
    </row>
    <row r="565" spans="1:8" s="5" customFormat="1" ht="12" x14ac:dyDescent="0.15">
      <c r="A565" s="11">
        <v>44546</v>
      </c>
      <c r="B565" s="7" t="s">
        <v>12</v>
      </c>
      <c r="C565" s="8" t="s">
        <v>10</v>
      </c>
      <c r="D565" s="8" t="s">
        <v>11</v>
      </c>
      <c r="E565" s="9"/>
      <c r="F565" s="14">
        <f t="shared" si="38"/>
        <v>8.6666666666666679</v>
      </c>
      <c r="H565" s="91"/>
    </row>
    <row r="566" spans="1:8" s="5" customFormat="1" ht="12" x14ac:dyDescent="0.15">
      <c r="A566" s="6">
        <v>44547</v>
      </c>
      <c r="B566" s="7" t="s">
        <v>12</v>
      </c>
      <c r="C566" s="8" t="s">
        <v>10</v>
      </c>
      <c r="D566" s="8" t="s">
        <v>11</v>
      </c>
      <c r="E566" s="9"/>
      <c r="F566" s="14">
        <f t="shared" si="38"/>
        <v>8.6666666666666679</v>
      </c>
      <c r="H566" s="91"/>
    </row>
    <row r="567" spans="1:8" s="5" customFormat="1" ht="12" x14ac:dyDescent="0.15">
      <c r="A567" s="11">
        <v>44548</v>
      </c>
      <c r="B567" s="7" t="s">
        <v>8</v>
      </c>
      <c r="C567" s="8"/>
      <c r="D567" s="8"/>
      <c r="E567" s="9"/>
      <c r="F567" s="14" t="str">
        <f t="shared" si="38"/>
        <v/>
      </c>
      <c r="H567" s="91"/>
    </row>
    <row r="568" spans="1:8" s="5" customFormat="1" ht="12" x14ac:dyDescent="0.15">
      <c r="A568" s="34">
        <v>44549</v>
      </c>
      <c r="B568" s="35" t="s">
        <v>8</v>
      </c>
      <c r="C568" s="28"/>
      <c r="D568" s="8"/>
      <c r="E568" s="9"/>
      <c r="F568" s="14" t="str">
        <f t="shared" si="38"/>
        <v/>
      </c>
      <c r="G568" s="29"/>
      <c r="H568" s="92"/>
    </row>
    <row r="569" spans="1:8" s="5" customFormat="1" ht="12" x14ac:dyDescent="0.15">
      <c r="A569" s="36">
        <v>44550</v>
      </c>
      <c r="B569" s="31" t="s">
        <v>8</v>
      </c>
      <c r="C569" s="32"/>
      <c r="D569" s="8"/>
      <c r="E569" s="9"/>
      <c r="F569" s="14" t="str">
        <f t="shared" si="38"/>
        <v/>
      </c>
      <c r="G569" s="33"/>
      <c r="H569" s="90">
        <f t="shared" si="39"/>
        <v>34.666666666666671</v>
      </c>
    </row>
    <row r="570" spans="1:8" s="5" customFormat="1" ht="12" x14ac:dyDescent="0.15">
      <c r="A570" s="6">
        <v>44551</v>
      </c>
      <c r="B570" s="7" t="s">
        <v>9</v>
      </c>
      <c r="C570" s="8" t="s">
        <v>10</v>
      </c>
      <c r="D570" s="8" t="s">
        <v>11</v>
      </c>
      <c r="E570" s="9"/>
      <c r="F570" s="14">
        <f t="shared" si="38"/>
        <v>8.6666666666666679</v>
      </c>
      <c r="H570" s="91"/>
    </row>
    <row r="571" spans="1:8" s="5" customFormat="1" ht="12" x14ac:dyDescent="0.15">
      <c r="A571" s="11">
        <v>44552</v>
      </c>
      <c r="B571" s="7" t="s">
        <v>9</v>
      </c>
      <c r="C571" s="8" t="s">
        <v>10</v>
      </c>
      <c r="D571" s="8" t="s">
        <v>11</v>
      </c>
      <c r="E571" s="9"/>
      <c r="F571" s="14">
        <f t="shared" si="38"/>
        <v>8.6666666666666679</v>
      </c>
      <c r="H571" s="91"/>
    </row>
    <row r="572" spans="1:8" s="5" customFormat="1" ht="12" x14ac:dyDescent="0.15">
      <c r="A572" s="6">
        <v>44553</v>
      </c>
      <c r="B572" s="7" t="s">
        <v>9</v>
      </c>
      <c r="C572" s="8" t="s">
        <v>10</v>
      </c>
      <c r="D572" s="8" t="s">
        <v>11</v>
      </c>
      <c r="E572" s="9"/>
      <c r="F572" s="14">
        <f t="shared" si="38"/>
        <v>8.6666666666666679</v>
      </c>
      <c r="H572" s="91"/>
    </row>
    <row r="573" spans="1:8" s="5" customFormat="1" ht="12" x14ac:dyDescent="0.15">
      <c r="A573" s="11">
        <v>44554</v>
      </c>
      <c r="B573" s="7" t="s">
        <v>9</v>
      </c>
      <c r="C573" s="8" t="s">
        <v>10</v>
      </c>
      <c r="D573" s="8" t="s">
        <v>11</v>
      </c>
      <c r="E573" s="9"/>
      <c r="F573" s="14">
        <f t="shared" si="38"/>
        <v>8.6666666666666679</v>
      </c>
      <c r="H573" s="91"/>
    </row>
    <row r="574" spans="1:8" s="5" customFormat="1" ht="12" x14ac:dyDescent="0.15">
      <c r="A574" s="6">
        <v>44555</v>
      </c>
      <c r="B574" s="7" t="s">
        <v>8</v>
      </c>
      <c r="C574" s="8"/>
      <c r="D574" s="8"/>
      <c r="E574" s="9"/>
      <c r="F574" s="14" t="str">
        <f t="shared" si="38"/>
        <v/>
      </c>
      <c r="H574" s="91"/>
    </row>
    <row r="575" spans="1:8" s="5" customFormat="1" ht="12" x14ac:dyDescent="0.15">
      <c r="A575" s="43">
        <v>44556</v>
      </c>
      <c r="B575" s="35" t="s">
        <v>8</v>
      </c>
      <c r="C575" s="28"/>
      <c r="D575" s="8"/>
      <c r="E575" s="9"/>
      <c r="F575" s="14" t="str">
        <f t="shared" si="38"/>
        <v/>
      </c>
      <c r="G575" s="29"/>
      <c r="H575" s="92"/>
    </row>
    <row r="576" spans="1:8" s="5" customFormat="1" ht="12" x14ac:dyDescent="0.15">
      <c r="A576" s="30">
        <v>44557</v>
      </c>
      <c r="B576" s="31" t="s">
        <v>8</v>
      </c>
      <c r="C576" s="32"/>
      <c r="D576" s="8"/>
      <c r="E576" s="9"/>
      <c r="F576" s="14" t="str">
        <f t="shared" si="38"/>
        <v/>
      </c>
      <c r="G576" s="33"/>
      <c r="H576" s="90">
        <f t="shared" si="39"/>
        <v>0</v>
      </c>
    </row>
    <row r="577" spans="1:8" s="5" customFormat="1" ht="12" x14ac:dyDescent="0.15">
      <c r="A577" s="11">
        <v>44558</v>
      </c>
      <c r="B577" s="7" t="s">
        <v>8</v>
      </c>
      <c r="C577" s="8"/>
      <c r="D577" s="8"/>
      <c r="E577" s="9"/>
      <c r="F577" s="14" t="str">
        <f t="shared" si="38"/>
        <v/>
      </c>
      <c r="H577" s="91"/>
    </row>
    <row r="578" spans="1:8" s="5" customFormat="1" ht="12" x14ac:dyDescent="0.15">
      <c r="A578" s="6">
        <v>44559</v>
      </c>
      <c r="B578" s="7" t="s">
        <v>8</v>
      </c>
      <c r="C578" s="8"/>
      <c r="D578" s="8"/>
      <c r="E578" s="9"/>
      <c r="F578" s="14" t="str">
        <f t="shared" si="38"/>
        <v/>
      </c>
      <c r="H578" s="91"/>
    </row>
    <row r="579" spans="1:8" s="5" customFormat="1" ht="12" x14ac:dyDescent="0.15">
      <c r="A579" s="11">
        <v>44560</v>
      </c>
      <c r="B579" s="7" t="s">
        <v>8</v>
      </c>
      <c r="C579" s="8"/>
      <c r="D579" s="8"/>
      <c r="E579" s="9"/>
      <c r="F579" s="14" t="str">
        <f t="shared" si="38"/>
        <v/>
      </c>
      <c r="H579" s="91"/>
    </row>
    <row r="580" spans="1:8" s="5" customFormat="1" ht="12" x14ac:dyDescent="0.15">
      <c r="A580" s="37">
        <v>44561</v>
      </c>
      <c r="B580" s="38" t="s">
        <v>8</v>
      </c>
      <c r="C580" s="39"/>
      <c r="D580" s="39"/>
      <c r="E580" s="40"/>
      <c r="F580" s="41" t="str">
        <f t="shared" si="38"/>
        <v/>
      </c>
      <c r="G580" s="42"/>
      <c r="H580" s="91"/>
    </row>
    <row r="581" spans="1:8" s="5" customFormat="1" ht="12" x14ac:dyDescent="0.15">
      <c r="A581" s="11">
        <v>44562</v>
      </c>
      <c r="B581" s="7" t="s">
        <v>8</v>
      </c>
      <c r="C581" s="8"/>
      <c r="D581" s="8"/>
      <c r="E581" s="9"/>
      <c r="F581" s="14" t="str">
        <f t="shared" ref="F581:F644" si="40">IF(C581="", "", IF(D581="", "", (D581-C581)*24 - E581))</f>
        <v/>
      </c>
      <c r="H581" s="91"/>
    </row>
    <row r="582" spans="1:8" s="5" customFormat="1" ht="12" x14ac:dyDescent="0.15">
      <c r="A582" s="34">
        <v>44563</v>
      </c>
      <c r="B582" s="35" t="s">
        <v>8</v>
      </c>
      <c r="C582" s="28"/>
      <c r="D582" s="8"/>
      <c r="E582" s="9"/>
      <c r="F582" s="14" t="str">
        <f t="shared" si="40"/>
        <v/>
      </c>
      <c r="G582" s="29"/>
      <c r="H582" s="92"/>
    </row>
    <row r="583" spans="1:8" s="5" customFormat="1" ht="12" x14ac:dyDescent="0.15">
      <c r="A583" s="36">
        <v>44564</v>
      </c>
      <c r="B583" s="31" t="s">
        <v>8</v>
      </c>
      <c r="C583" s="32"/>
      <c r="D583" s="8"/>
      <c r="E583" s="9"/>
      <c r="F583" s="14" t="str">
        <f t="shared" si="40"/>
        <v/>
      </c>
      <c r="G583" s="33"/>
      <c r="H583" s="90">
        <f t="shared" si="39"/>
        <v>0</v>
      </c>
    </row>
    <row r="584" spans="1:8" s="5" customFormat="1" ht="12" x14ac:dyDescent="0.15">
      <c r="A584" s="6">
        <v>44565</v>
      </c>
      <c r="B584" s="7" t="s">
        <v>8</v>
      </c>
      <c r="C584" s="8"/>
      <c r="D584" s="8"/>
      <c r="E584" s="9"/>
      <c r="F584" s="14" t="str">
        <f t="shared" si="40"/>
        <v/>
      </c>
      <c r="H584" s="91"/>
    </row>
    <row r="585" spans="1:8" s="5" customFormat="1" ht="12" x14ac:dyDescent="0.15">
      <c r="A585" s="11">
        <v>44566</v>
      </c>
      <c r="B585" s="7" t="s">
        <v>8</v>
      </c>
      <c r="C585" s="8"/>
      <c r="D585" s="8"/>
      <c r="E585" s="9"/>
      <c r="F585" s="14" t="str">
        <f t="shared" si="40"/>
        <v/>
      </c>
      <c r="H585" s="91"/>
    </row>
    <row r="586" spans="1:8" s="5" customFormat="1" ht="12" x14ac:dyDescent="0.15">
      <c r="A586" s="6">
        <v>44567</v>
      </c>
      <c r="B586" s="7" t="s">
        <v>8</v>
      </c>
      <c r="C586" s="8"/>
      <c r="D586" s="8"/>
      <c r="E586" s="9"/>
      <c r="F586" s="14" t="str">
        <f t="shared" si="40"/>
        <v/>
      </c>
      <c r="H586" s="91"/>
    </row>
    <row r="587" spans="1:8" s="5" customFormat="1" ht="12" x14ac:dyDescent="0.15">
      <c r="A587" s="11">
        <v>44568</v>
      </c>
      <c r="B587" s="7" t="s">
        <v>8</v>
      </c>
      <c r="C587" s="8"/>
      <c r="D587" s="8"/>
      <c r="E587" s="9"/>
      <c r="F587" s="14" t="str">
        <f t="shared" si="40"/>
        <v/>
      </c>
      <c r="H587" s="91"/>
    </row>
    <row r="588" spans="1:8" s="5" customFormat="1" ht="12" x14ac:dyDescent="0.15">
      <c r="A588" s="6">
        <v>44569</v>
      </c>
      <c r="B588" s="7" t="s">
        <v>8</v>
      </c>
      <c r="C588" s="8"/>
      <c r="D588" s="8"/>
      <c r="E588" s="9"/>
      <c r="F588" s="14" t="str">
        <f t="shared" si="40"/>
        <v/>
      </c>
      <c r="H588" s="91"/>
    </row>
    <row r="589" spans="1:8" s="5" customFormat="1" ht="12" x14ac:dyDescent="0.15">
      <c r="A589" s="43">
        <v>44570</v>
      </c>
      <c r="B589" s="35" t="s">
        <v>8</v>
      </c>
      <c r="C589" s="28"/>
      <c r="D589" s="8"/>
      <c r="E589" s="9"/>
      <c r="F589" s="14" t="str">
        <f t="shared" si="40"/>
        <v/>
      </c>
      <c r="G589" s="29"/>
      <c r="H589" s="92"/>
    </row>
    <row r="590" spans="1:8" s="5" customFormat="1" ht="12" x14ac:dyDescent="0.15">
      <c r="A590" s="30">
        <v>44571</v>
      </c>
      <c r="B590" s="31" t="s">
        <v>8</v>
      </c>
      <c r="C590" s="32"/>
      <c r="D590" s="8"/>
      <c r="E590" s="9"/>
      <c r="F590" s="14" t="str">
        <f t="shared" si="40"/>
        <v/>
      </c>
      <c r="G590" s="33"/>
      <c r="H590" s="90">
        <f t="shared" si="39"/>
        <v>34.666666666666671</v>
      </c>
    </row>
    <row r="591" spans="1:8" s="5" customFormat="1" ht="12" x14ac:dyDescent="0.15">
      <c r="A591" s="11">
        <v>44572</v>
      </c>
      <c r="B591" s="7" t="s">
        <v>9</v>
      </c>
      <c r="C591" s="8" t="s">
        <v>10</v>
      </c>
      <c r="D591" s="8" t="s">
        <v>11</v>
      </c>
      <c r="E591" s="9"/>
      <c r="F591" s="14">
        <f t="shared" si="40"/>
        <v>8.6666666666666679</v>
      </c>
      <c r="H591" s="91"/>
    </row>
    <row r="592" spans="1:8" s="5" customFormat="1" ht="12" x14ac:dyDescent="0.15">
      <c r="A592" s="6">
        <v>44573</v>
      </c>
      <c r="B592" s="7" t="s">
        <v>9</v>
      </c>
      <c r="C592" s="8" t="s">
        <v>10</v>
      </c>
      <c r="D592" s="8" t="s">
        <v>11</v>
      </c>
      <c r="E592" s="9"/>
      <c r="F592" s="14">
        <f t="shared" si="40"/>
        <v>8.6666666666666679</v>
      </c>
      <c r="H592" s="91"/>
    </row>
    <row r="593" spans="1:8" s="5" customFormat="1" ht="12" x14ac:dyDescent="0.15">
      <c r="A593" s="11">
        <v>44574</v>
      </c>
      <c r="B593" s="7" t="s">
        <v>9</v>
      </c>
      <c r="C593" s="8" t="s">
        <v>10</v>
      </c>
      <c r="D593" s="8" t="s">
        <v>11</v>
      </c>
      <c r="E593" s="9"/>
      <c r="F593" s="14">
        <f t="shared" si="40"/>
        <v>8.6666666666666679</v>
      </c>
      <c r="H593" s="91"/>
    </row>
    <row r="594" spans="1:8" s="5" customFormat="1" ht="12" x14ac:dyDescent="0.15">
      <c r="A594" s="6">
        <v>44575</v>
      </c>
      <c r="B594" s="7" t="s">
        <v>9</v>
      </c>
      <c r="C594" s="8" t="s">
        <v>10</v>
      </c>
      <c r="D594" s="8" t="s">
        <v>11</v>
      </c>
      <c r="E594" s="9"/>
      <c r="F594" s="14">
        <f t="shared" si="40"/>
        <v>8.6666666666666679</v>
      </c>
      <c r="H594" s="91"/>
    </row>
    <row r="595" spans="1:8" s="5" customFormat="1" ht="12" x14ac:dyDescent="0.15">
      <c r="A595" s="11">
        <v>44576</v>
      </c>
      <c r="B595" s="7" t="s">
        <v>8</v>
      </c>
      <c r="C595" s="8"/>
      <c r="D595" s="8"/>
      <c r="E595" s="9"/>
      <c r="F595" s="14" t="str">
        <f t="shared" si="40"/>
        <v/>
      </c>
      <c r="H595" s="91"/>
    </row>
    <row r="596" spans="1:8" s="5" customFormat="1" ht="12" x14ac:dyDescent="0.15">
      <c r="A596" s="34">
        <v>44577</v>
      </c>
      <c r="B596" s="35" t="s">
        <v>8</v>
      </c>
      <c r="C596" s="28"/>
      <c r="D596" s="8"/>
      <c r="E596" s="9"/>
      <c r="F596" s="14" t="str">
        <f t="shared" si="40"/>
        <v/>
      </c>
      <c r="G596" s="29"/>
      <c r="H596" s="92"/>
    </row>
    <row r="597" spans="1:8" s="5" customFormat="1" ht="12" x14ac:dyDescent="0.15">
      <c r="A597" s="36">
        <v>44578</v>
      </c>
      <c r="B597" s="31" t="s">
        <v>9</v>
      </c>
      <c r="C597" s="32" t="s">
        <v>10</v>
      </c>
      <c r="D597" s="8" t="s">
        <v>11</v>
      </c>
      <c r="E597" s="9"/>
      <c r="F597" s="14">
        <f t="shared" si="40"/>
        <v>8.6666666666666679</v>
      </c>
      <c r="G597" s="33"/>
      <c r="H597" s="90">
        <f t="shared" si="39"/>
        <v>43.333333333333343</v>
      </c>
    </row>
    <row r="598" spans="1:8" s="5" customFormat="1" ht="12" x14ac:dyDescent="0.15">
      <c r="A598" s="6">
        <v>44579</v>
      </c>
      <c r="B598" s="7" t="s">
        <v>9</v>
      </c>
      <c r="C598" s="8" t="s">
        <v>10</v>
      </c>
      <c r="D598" s="8" t="s">
        <v>11</v>
      </c>
      <c r="E598" s="9"/>
      <c r="F598" s="14">
        <f t="shared" si="40"/>
        <v>8.6666666666666679</v>
      </c>
      <c r="H598" s="91"/>
    </row>
    <row r="599" spans="1:8" s="5" customFormat="1" ht="12" x14ac:dyDescent="0.15">
      <c r="A599" s="11">
        <v>44580</v>
      </c>
      <c r="B599" s="7" t="s">
        <v>9</v>
      </c>
      <c r="C599" s="8" t="s">
        <v>10</v>
      </c>
      <c r="D599" s="8" t="s">
        <v>11</v>
      </c>
      <c r="E599" s="9"/>
      <c r="F599" s="14">
        <f t="shared" si="40"/>
        <v>8.6666666666666679</v>
      </c>
      <c r="H599" s="91"/>
    </row>
    <row r="600" spans="1:8" s="5" customFormat="1" ht="12" x14ac:dyDescent="0.15">
      <c r="A600" s="6">
        <v>44581</v>
      </c>
      <c r="B600" s="7" t="s">
        <v>9</v>
      </c>
      <c r="C600" s="8" t="s">
        <v>10</v>
      </c>
      <c r="D600" s="8" t="s">
        <v>11</v>
      </c>
      <c r="E600" s="9"/>
      <c r="F600" s="14">
        <f t="shared" si="40"/>
        <v>8.6666666666666679</v>
      </c>
      <c r="H600" s="91"/>
    </row>
    <row r="601" spans="1:8" s="5" customFormat="1" ht="12" x14ac:dyDescent="0.15">
      <c r="A601" s="11">
        <v>44582</v>
      </c>
      <c r="B601" s="7" t="s">
        <v>9</v>
      </c>
      <c r="C601" s="8" t="s">
        <v>10</v>
      </c>
      <c r="D601" s="8" t="s">
        <v>11</v>
      </c>
      <c r="E601" s="9"/>
      <c r="F601" s="14">
        <f t="shared" si="40"/>
        <v>8.6666666666666679</v>
      </c>
      <c r="H601" s="91"/>
    </row>
    <row r="602" spans="1:8" s="5" customFormat="1" ht="12" x14ac:dyDescent="0.15">
      <c r="A602" s="6">
        <v>44583</v>
      </c>
      <c r="B602" s="7" t="s">
        <v>8</v>
      </c>
      <c r="C602" s="8"/>
      <c r="D602" s="8"/>
      <c r="E602" s="9"/>
      <c r="F602" s="14" t="str">
        <f t="shared" si="40"/>
        <v/>
      </c>
      <c r="H602" s="91"/>
    </row>
    <row r="603" spans="1:8" s="5" customFormat="1" ht="12" x14ac:dyDescent="0.15">
      <c r="A603" s="43">
        <v>44584</v>
      </c>
      <c r="B603" s="35" t="s">
        <v>8</v>
      </c>
      <c r="C603" s="28"/>
      <c r="D603" s="8"/>
      <c r="E603" s="9"/>
      <c r="F603" s="14" t="str">
        <f t="shared" si="40"/>
        <v/>
      </c>
      <c r="G603" s="29"/>
      <c r="H603" s="92"/>
    </row>
    <row r="604" spans="1:8" s="5" customFormat="1" ht="12" x14ac:dyDescent="0.15">
      <c r="A604" s="30">
        <v>44585</v>
      </c>
      <c r="B604" s="31" t="s">
        <v>9</v>
      </c>
      <c r="C604" s="32" t="s">
        <v>10</v>
      </c>
      <c r="D604" s="8" t="s">
        <v>11</v>
      </c>
      <c r="E604" s="9"/>
      <c r="F604" s="14">
        <f t="shared" si="40"/>
        <v>8.6666666666666679</v>
      </c>
      <c r="G604" s="33"/>
      <c r="H604" s="90">
        <f t="shared" si="39"/>
        <v>34.666666666666671</v>
      </c>
    </row>
    <row r="605" spans="1:8" s="5" customFormat="1" ht="12" x14ac:dyDescent="0.15">
      <c r="A605" s="11">
        <v>44586</v>
      </c>
      <c r="B605" s="7" t="s">
        <v>9</v>
      </c>
      <c r="C605" s="8" t="s">
        <v>10</v>
      </c>
      <c r="D605" s="8" t="s">
        <v>11</v>
      </c>
      <c r="E605" s="9"/>
      <c r="F605" s="14">
        <f t="shared" si="40"/>
        <v>8.6666666666666679</v>
      </c>
      <c r="H605" s="91"/>
    </row>
    <row r="606" spans="1:8" s="5" customFormat="1" ht="12" x14ac:dyDescent="0.15">
      <c r="A606" s="6">
        <v>44587</v>
      </c>
      <c r="B606" s="7" t="s">
        <v>8</v>
      </c>
      <c r="C606" s="8"/>
      <c r="D606" s="8"/>
      <c r="E606" s="9"/>
      <c r="F606" s="14" t="str">
        <f t="shared" si="40"/>
        <v/>
      </c>
      <c r="H606" s="91"/>
    </row>
    <row r="607" spans="1:8" s="5" customFormat="1" ht="12" x14ac:dyDescent="0.15">
      <c r="A607" s="11">
        <v>44588</v>
      </c>
      <c r="B607" s="7" t="s">
        <v>9</v>
      </c>
      <c r="C607" s="8" t="s">
        <v>10</v>
      </c>
      <c r="D607" s="8" t="s">
        <v>11</v>
      </c>
      <c r="E607" s="9"/>
      <c r="F607" s="14">
        <f t="shared" si="40"/>
        <v>8.6666666666666679</v>
      </c>
      <c r="H607" s="91"/>
    </row>
    <row r="608" spans="1:8" s="5" customFormat="1" ht="12" x14ac:dyDescent="0.15">
      <c r="A608" s="6">
        <v>44589</v>
      </c>
      <c r="B608" s="7" t="s">
        <v>9</v>
      </c>
      <c r="C608" s="8" t="s">
        <v>10</v>
      </c>
      <c r="D608" s="8" t="s">
        <v>11</v>
      </c>
      <c r="E608" s="9"/>
      <c r="F608" s="14">
        <f t="shared" si="40"/>
        <v>8.6666666666666679</v>
      </c>
      <c r="H608" s="91"/>
    </row>
    <row r="609" spans="1:8" s="5" customFormat="1" ht="12" x14ac:dyDescent="0.15">
      <c r="A609" s="11">
        <v>44590</v>
      </c>
      <c r="B609" s="7" t="s">
        <v>8</v>
      </c>
      <c r="C609" s="8"/>
      <c r="D609" s="8"/>
      <c r="E609" s="9"/>
      <c r="F609" s="14" t="str">
        <f t="shared" si="40"/>
        <v/>
      </c>
      <c r="H609" s="91"/>
    </row>
    <row r="610" spans="1:8" s="5" customFormat="1" ht="12" x14ac:dyDescent="0.15">
      <c r="A610" s="34">
        <v>44591</v>
      </c>
      <c r="B610" s="35" t="s">
        <v>8</v>
      </c>
      <c r="C610" s="28"/>
      <c r="D610" s="8"/>
      <c r="E610" s="9"/>
      <c r="F610" s="14" t="str">
        <f t="shared" si="40"/>
        <v/>
      </c>
      <c r="G610" s="29"/>
      <c r="H610" s="92"/>
    </row>
    <row r="611" spans="1:8" s="5" customFormat="1" ht="12" x14ac:dyDescent="0.15">
      <c r="A611" s="36">
        <v>44592</v>
      </c>
      <c r="B611" s="31" t="s">
        <v>8</v>
      </c>
      <c r="C611" s="32"/>
      <c r="D611" s="8"/>
      <c r="E611" s="9"/>
      <c r="F611" s="14" t="str">
        <f t="shared" si="40"/>
        <v/>
      </c>
      <c r="G611" s="33"/>
      <c r="H611" s="90">
        <f t="shared" si="39"/>
        <v>26.000000000000004</v>
      </c>
    </row>
    <row r="612" spans="1:8" s="5" customFormat="1" ht="12" x14ac:dyDescent="0.15">
      <c r="A612" s="6">
        <v>44593</v>
      </c>
      <c r="B612" s="7" t="s">
        <v>9</v>
      </c>
      <c r="C612" s="8" t="s">
        <v>10</v>
      </c>
      <c r="D612" s="8" t="s">
        <v>11</v>
      </c>
      <c r="E612" s="9"/>
      <c r="F612" s="14">
        <f t="shared" si="40"/>
        <v>8.6666666666666679</v>
      </c>
      <c r="H612" s="91"/>
    </row>
    <row r="613" spans="1:8" s="5" customFormat="1" ht="12" x14ac:dyDescent="0.15">
      <c r="A613" s="11">
        <v>44594</v>
      </c>
      <c r="B613" s="7" t="s">
        <v>8</v>
      </c>
      <c r="C613" s="8"/>
      <c r="D613" s="8"/>
      <c r="E613" s="9"/>
      <c r="F613" s="14" t="str">
        <f t="shared" si="40"/>
        <v/>
      </c>
      <c r="H613" s="91"/>
    </row>
    <row r="614" spans="1:8" s="5" customFormat="1" ht="12" x14ac:dyDescent="0.15">
      <c r="A614" s="6">
        <v>44595</v>
      </c>
      <c r="B614" s="7" t="s">
        <v>9</v>
      </c>
      <c r="C614" s="8" t="s">
        <v>10</v>
      </c>
      <c r="D614" s="8" t="s">
        <v>11</v>
      </c>
      <c r="E614" s="9"/>
      <c r="F614" s="14">
        <f t="shared" si="40"/>
        <v>8.6666666666666679</v>
      </c>
      <c r="H614" s="91"/>
    </row>
    <row r="615" spans="1:8" s="5" customFormat="1" ht="12" x14ac:dyDescent="0.15">
      <c r="A615" s="11">
        <v>44596</v>
      </c>
      <c r="B615" s="7" t="s">
        <v>9</v>
      </c>
      <c r="C615" s="8" t="s">
        <v>10</v>
      </c>
      <c r="D615" s="8" t="s">
        <v>11</v>
      </c>
      <c r="E615" s="9"/>
      <c r="F615" s="14">
        <f t="shared" si="40"/>
        <v>8.6666666666666679</v>
      </c>
      <c r="H615" s="91"/>
    </row>
    <row r="616" spans="1:8" s="5" customFormat="1" ht="12" x14ac:dyDescent="0.15">
      <c r="A616" s="6">
        <v>44597</v>
      </c>
      <c r="B616" s="7" t="s">
        <v>8</v>
      </c>
      <c r="C616" s="8"/>
      <c r="D616" s="8"/>
      <c r="E616" s="9"/>
      <c r="F616" s="14" t="str">
        <f t="shared" si="40"/>
        <v/>
      </c>
      <c r="H616" s="91"/>
    </row>
    <row r="617" spans="1:8" s="5" customFormat="1" ht="12" x14ac:dyDescent="0.15">
      <c r="A617" s="43">
        <v>44598</v>
      </c>
      <c r="B617" s="35" t="s">
        <v>8</v>
      </c>
      <c r="C617" s="28"/>
      <c r="D617" s="8"/>
      <c r="E617" s="9"/>
      <c r="F617" s="14" t="str">
        <f t="shared" si="40"/>
        <v/>
      </c>
      <c r="G617" s="29"/>
      <c r="H617" s="92"/>
    </row>
    <row r="618" spans="1:8" s="5" customFormat="1" ht="12" x14ac:dyDescent="0.15">
      <c r="A618" s="30">
        <v>44599</v>
      </c>
      <c r="B618" s="31" t="s">
        <v>8</v>
      </c>
      <c r="C618" s="32"/>
      <c r="D618" s="8"/>
      <c r="E618" s="9"/>
      <c r="F618" s="14" t="str">
        <f t="shared" si="40"/>
        <v/>
      </c>
      <c r="G618" s="33"/>
      <c r="H618" s="90">
        <f t="shared" ref="H618:H681" si="41">SUM(F618:F624)</f>
        <v>34.666666666666671</v>
      </c>
    </row>
    <row r="619" spans="1:8" s="5" customFormat="1" ht="12" x14ac:dyDescent="0.15">
      <c r="A619" s="11">
        <v>44600</v>
      </c>
      <c r="B619" s="7" t="s">
        <v>9</v>
      </c>
      <c r="C619" s="8" t="s">
        <v>10</v>
      </c>
      <c r="D619" s="8" t="s">
        <v>11</v>
      </c>
      <c r="E619" s="9"/>
      <c r="F619" s="14">
        <f t="shared" si="40"/>
        <v>8.6666666666666679</v>
      </c>
      <c r="H619" s="91"/>
    </row>
    <row r="620" spans="1:8" s="5" customFormat="1" ht="12" x14ac:dyDescent="0.15">
      <c r="A620" s="6">
        <v>44601</v>
      </c>
      <c r="B620" s="7" t="s">
        <v>9</v>
      </c>
      <c r="C620" s="8" t="s">
        <v>10</v>
      </c>
      <c r="D620" s="8" t="s">
        <v>11</v>
      </c>
      <c r="E620" s="9"/>
      <c r="F620" s="14">
        <f t="shared" si="40"/>
        <v>8.6666666666666679</v>
      </c>
      <c r="H620" s="91"/>
    </row>
    <row r="621" spans="1:8" s="5" customFormat="1" ht="12" x14ac:dyDescent="0.15">
      <c r="A621" s="11">
        <v>44602</v>
      </c>
      <c r="B621" s="7" t="s">
        <v>9</v>
      </c>
      <c r="C621" s="8" t="s">
        <v>10</v>
      </c>
      <c r="D621" s="8" t="s">
        <v>11</v>
      </c>
      <c r="E621" s="9"/>
      <c r="F621" s="14">
        <f t="shared" si="40"/>
        <v>8.6666666666666679</v>
      </c>
      <c r="H621" s="91"/>
    </row>
    <row r="622" spans="1:8" s="5" customFormat="1" ht="12" x14ac:dyDescent="0.15">
      <c r="A622" s="6">
        <v>44603</v>
      </c>
      <c r="B622" s="7" t="s">
        <v>9</v>
      </c>
      <c r="C622" s="8" t="s">
        <v>10</v>
      </c>
      <c r="D622" s="8" t="s">
        <v>11</v>
      </c>
      <c r="E622" s="9"/>
      <c r="F622" s="14">
        <f t="shared" si="40"/>
        <v>8.6666666666666679</v>
      </c>
      <c r="H622" s="91"/>
    </row>
    <row r="623" spans="1:8" s="5" customFormat="1" ht="12" x14ac:dyDescent="0.15">
      <c r="A623" s="11">
        <v>44604</v>
      </c>
      <c r="B623" s="7" t="s">
        <v>8</v>
      </c>
      <c r="C623" s="8"/>
      <c r="D623" s="8"/>
      <c r="E623" s="9"/>
      <c r="F623" s="14" t="str">
        <f t="shared" si="40"/>
        <v/>
      </c>
      <c r="H623" s="91"/>
    </row>
    <row r="624" spans="1:8" s="5" customFormat="1" ht="12" x14ac:dyDescent="0.15">
      <c r="A624" s="34">
        <v>44605</v>
      </c>
      <c r="B624" s="35" t="s">
        <v>8</v>
      </c>
      <c r="C624" s="28"/>
      <c r="D624" s="8"/>
      <c r="E624" s="9"/>
      <c r="F624" s="14" t="str">
        <f t="shared" si="40"/>
        <v/>
      </c>
      <c r="G624" s="29"/>
      <c r="H624" s="92"/>
    </row>
    <row r="625" spans="1:8" s="5" customFormat="1" ht="12" x14ac:dyDescent="0.15">
      <c r="A625" s="36">
        <v>44606</v>
      </c>
      <c r="B625" s="31" t="s">
        <v>8</v>
      </c>
      <c r="C625" s="32"/>
      <c r="D625" s="8"/>
      <c r="E625" s="9"/>
      <c r="F625" s="14" t="str">
        <f t="shared" si="40"/>
        <v/>
      </c>
      <c r="G625" s="33"/>
      <c r="H625" s="90">
        <f t="shared" si="41"/>
        <v>34.666666666666671</v>
      </c>
    </row>
    <row r="626" spans="1:8" s="5" customFormat="1" ht="12" x14ac:dyDescent="0.15">
      <c r="A626" s="6">
        <v>44607</v>
      </c>
      <c r="B626" s="7" t="s">
        <v>9</v>
      </c>
      <c r="C626" s="8" t="s">
        <v>10</v>
      </c>
      <c r="D626" s="8" t="s">
        <v>11</v>
      </c>
      <c r="E626" s="9"/>
      <c r="F626" s="14">
        <f t="shared" si="40"/>
        <v>8.6666666666666679</v>
      </c>
      <c r="H626" s="91"/>
    </row>
    <row r="627" spans="1:8" s="5" customFormat="1" ht="12" x14ac:dyDescent="0.15">
      <c r="A627" s="11">
        <v>44608</v>
      </c>
      <c r="B627" s="7" t="s">
        <v>9</v>
      </c>
      <c r="C627" s="8" t="s">
        <v>10</v>
      </c>
      <c r="D627" s="8" t="s">
        <v>11</v>
      </c>
      <c r="E627" s="9"/>
      <c r="F627" s="14">
        <f t="shared" si="40"/>
        <v>8.6666666666666679</v>
      </c>
      <c r="H627" s="91"/>
    </row>
    <row r="628" spans="1:8" s="5" customFormat="1" ht="12" x14ac:dyDescent="0.15">
      <c r="A628" s="6">
        <v>44609</v>
      </c>
      <c r="B628" s="7" t="s">
        <v>12</v>
      </c>
      <c r="C628" s="8" t="s">
        <v>10</v>
      </c>
      <c r="D628" s="8" t="s">
        <v>11</v>
      </c>
      <c r="E628" s="9"/>
      <c r="F628" s="14">
        <f t="shared" si="40"/>
        <v>8.6666666666666679</v>
      </c>
      <c r="H628" s="91"/>
    </row>
    <row r="629" spans="1:8" s="5" customFormat="1" ht="12" x14ac:dyDescent="0.15">
      <c r="A629" s="11">
        <v>44610</v>
      </c>
      <c r="B629" s="7" t="s">
        <v>12</v>
      </c>
      <c r="C629" s="8" t="s">
        <v>10</v>
      </c>
      <c r="D629" s="8" t="s">
        <v>11</v>
      </c>
      <c r="E629" s="9"/>
      <c r="F629" s="14">
        <f t="shared" si="40"/>
        <v>8.6666666666666679</v>
      </c>
      <c r="H629" s="91"/>
    </row>
    <row r="630" spans="1:8" s="5" customFormat="1" ht="12" x14ac:dyDescent="0.15">
      <c r="A630" s="6">
        <v>44611</v>
      </c>
      <c r="B630" s="7" t="s">
        <v>8</v>
      </c>
      <c r="C630" s="8"/>
      <c r="D630" s="8"/>
      <c r="E630" s="9"/>
      <c r="F630" s="14" t="str">
        <f t="shared" si="40"/>
        <v/>
      </c>
      <c r="H630" s="91"/>
    </row>
    <row r="631" spans="1:8" s="5" customFormat="1" ht="12" x14ac:dyDescent="0.15">
      <c r="A631" s="43">
        <v>44612</v>
      </c>
      <c r="B631" s="35" t="s">
        <v>8</v>
      </c>
      <c r="C631" s="28"/>
      <c r="D631" s="8"/>
      <c r="E631" s="9"/>
      <c r="F631" s="14" t="str">
        <f t="shared" si="40"/>
        <v/>
      </c>
      <c r="G631" s="29"/>
      <c r="H631" s="92"/>
    </row>
    <row r="632" spans="1:8" s="5" customFormat="1" ht="12" x14ac:dyDescent="0.15">
      <c r="A632" s="30">
        <v>44613</v>
      </c>
      <c r="B632" s="31" t="s">
        <v>12</v>
      </c>
      <c r="C632" s="32" t="s">
        <v>10</v>
      </c>
      <c r="D632" s="8" t="s">
        <v>11</v>
      </c>
      <c r="E632" s="9"/>
      <c r="F632" s="14">
        <f t="shared" si="40"/>
        <v>8.6666666666666679</v>
      </c>
      <c r="G632" s="33"/>
      <c r="H632" s="90">
        <f t="shared" si="41"/>
        <v>26.000000000000004</v>
      </c>
    </row>
    <row r="633" spans="1:8" s="5" customFormat="1" ht="12" x14ac:dyDescent="0.15">
      <c r="A633" s="11">
        <v>44614</v>
      </c>
      <c r="B633" s="7" t="s">
        <v>12</v>
      </c>
      <c r="C633" s="8" t="s">
        <v>10</v>
      </c>
      <c r="D633" s="8" t="s">
        <v>11</v>
      </c>
      <c r="E633" s="9"/>
      <c r="F633" s="14">
        <f t="shared" si="40"/>
        <v>8.6666666666666679</v>
      </c>
      <c r="H633" s="91"/>
    </row>
    <row r="634" spans="1:8" s="5" customFormat="1" ht="12" x14ac:dyDescent="0.15">
      <c r="A634" s="6">
        <v>44615</v>
      </c>
      <c r="B634" s="7" t="s">
        <v>9</v>
      </c>
      <c r="C634" s="8" t="s">
        <v>10</v>
      </c>
      <c r="D634" s="8" t="s">
        <v>11</v>
      </c>
      <c r="E634" s="9"/>
      <c r="F634" s="14">
        <f t="shared" si="40"/>
        <v>8.6666666666666679</v>
      </c>
      <c r="H634" s="91"/>
    </row>
    <row r="635" spans="1:8" s="5" customFormat="1" ht="12" x14ac:dyDescent="0.15">
      <c r="A635" s="11">
        <v>44616</v>
      </c>
      <c r="B635" s="7" t="s">
        <v>8</v>
      </c>
      <c r="C635" s="8"/>
      <c r="D635" s="8"/>
      <c r="E635" s="9"/>
      <c r="F635" s="14" t="str">
        <f t="shared" si="40"/>
        <v/>
      </c>
      <c r="H635" s="91"/>
    </row>
    <row r="636" spans="1:8" s="5" customFormat="1" ht="12" x14ac:dyDescent="0.15">
      <c r="A636" s="6">
        <v>44617</v>
      </c>
      <c r="B636" s="7" t="s">
        <v>8</v>
      </c>
      <c r="C636" s="8"/>
      <c r="D636" s="8"/>
      <c r="E636" s="9"/>
      <c r="F636" s="14" t="str">
        <f t="shared" si="40"/>
        <v/>
      </c>
      <c r="H636" s="91"/>
    </row>
    <row r="637" spans="1:8" s="5" customFormat="1" ht="12" x14ac:dyDescent="0.15">
      <c r="A637" s="11">
        <v>44618</v>
      </c>
      <c r="B637" s="7" t="s">
        <v>8</v>
      </c>
      <c r="C637" s="8"/>
      <c r="D637" s="8"/>
      <c r="E637" s="9"/>
      <c r="F637" s="14" t="str">
        <f t="shared" si="40"/>
        <v/>
      </c>
      <c r="H637" s="91"/>
    </row>
    <row r="638" spans="1:8" s="5" customFormat="1" ht="12" x14ac:dyDescent="0.15">
      <c r="A638" s="6">
        <v>44619</v>
      </c>
      <c r="B638" s="7" t="s">
        <v>8</v>
      </c>
      <c r="C638" s="8"/>
      <c r="D638" s="8"/>
      <c r="E638" s="9"/>
      <c r="F638" s="14" t="str">
        <f t="shared" si="40"/>
        <v/>
      </c>
      <c r="H638" s="91"/>
    </row>
    <row r="639" spans="1:8" s="5" customFormat="1" ht="12" x14ac:dyDescent="0.15">
      <c r="A639" s="36">
        <v>44620</v>
      </c>
      <c r="B639" s="31" t="s">
        <v>8</v>
      </c>
      <c r="C639" s="32"/>
      <c r="D639" s="8"/>
      <c r="E639" s="9"/>
      <c r="F639" s="14" t="str">
        <f t="shared" si="40"/>
        <v/>
      </c>
      <c r="G639" s="33"/>
      <c r="H639" s="90">
        <f t="shared" si="41"/>
        <v>0</v>
      </c>
    </row>
    <row r="640" spans="1:8" s="5" customFormat="1" ht="12" x14ac:dyDescent="0.15">
      <c r="A640" s="6">
        <v>44621</v>
      </c>
      <c r="B640" s="7" t="s">
        <v>8</v>
      </c>
      <c r="C640" s="8"/>
      <c r="D640" s="8"/>
      <c r="E640" s="9"/>
      <c r="F640" s="14" t="str">
        <f t="shared" si="40"/>
        <v/>
      </c>
      <c r="H640" s="91"/>
    </row>
    <row r="641" spans="1:8" s="5" customFormat="1" ht="12" x14ac:dyDescent="0.15">
      <c r="A641" s="11">
        <v>44622</v>
      </c>
      <c r="B641" s="7" t="s">
        <v>8</v>
      </c>
      <c r="C641" s="8"/>
      <c r="D641" s="8"/>
      <c r="E641" s="9"/>
      <c r="F641" s="14" t="str">
        <f t="shared" si="40"/>
        <v/>
      </c>
      <c r="H641" s="91"/>
    </row>
    <row r="642" spans="1:8" s="5" customFormat="1" ht="12" x14ac:dyDescent="0.15">
      <c r="A642" s="6">
        <v>44623</v>
      </c>
      <c r="B642" s="7" t="s">
        <v>8</v>
      </c>
      <c r="C642" s="8"/>
      <c r="D642" s="8"/>
      <c r="E642" s="9"/>
      <c r="F642" s="14" t="str">
        <f t="shared" si="40"/>
        <v/>
      </c>
      <c r="H642" s="91"/>
    </row>
    <row r="643" spans="1:8" s="5" customFormat="1" ht="12" x14ac:dyDescent="0.15">
      <c r="A643" s="11">
        <v>44624</v>
      </c>
      <c r="B643" s="7" t="s">
        <v>8</v>
      </c>
      <c r="C643" s="8"/>
      <c r="D643" s="8"/>
      <c r="E643" s="9"/>
      <c r="F643" s="14" t="str">
        <f t="shared" si="40"/>
        <v/>
      </c>
      <c r="H643" s="91"/>
    </row>
    <row r="644" spans="1:8" s="5" customFormat="1" ht="12" x14ac:dyDescent="0.15">
      <c r="A644" s="6">
        <v>44625</v>
      </c>
      <c r="B644" s="7" t="s">
        <v>8</v>
      </c>
      <c r="C644" s="8"/>
      <c r="D644" s="8"/>
      <c r="E644" s="9"/>
      <c r="F644" s="14" t="str">
        <f t="shared" si="40"/>
        <v/>
      </c>
      <c r="H644" s="91"/>
    </row>
    <row r="645" spans="1:8" s="5" customFormat="1" ht="12" x14ac:dyDescent="0.15">
      <c r="A645" s="43">
        <v>44626</v>
      </c>
      <c r="B645" s="35" t="s">
        <v>8</v>
      </c>
      <c r="C645" s="28"/>
      <c r="D645" s="8"/>
      <c r="E645" s="9"/>
      <c r="F645" s="14" t="str">
        <f t="shared" ref="F645:F708" si="42">IF(C645="", "", IF(D645="", "", (D645-C645)*24 - E645))</f>
        <v/>
      </c>
      <c r="G645" s="29"/>
      <c r="H645" s="92"/>
    </row>
    <row r="646" spans="1:8" s="5" customFormat="1" ht="12" x14ac:dyDescent="0.15">
      <c r="A646" s="30">
        <v>44627</v>
      </c>
      <c r="B646" s="31" t="s">
        <v>8</v>
      </c>
      <c r="C646" s="32"/>
      <c r="D646" s="8"/>
      <c r="E646" s="9"/>
      <c r="F646" s="14" t="str">
        <f t="shared" si="42"/>
        <v/>
      </c>
      <c r="G646" s="33"/>
      <c r="H646" s="90">
        <f t="shared" si="41"/>
        <v>0</v>
      </c>
    </row>
    <row r="647" spans="1:8" s="5" customFormat="1" ht="12" x14ac:dyDescent="0.15">
      <c r="A647" s="11">
        <v>44628</v>
      </c>
      <c r="B647" s="7" t="s">
        <v>8</v>
      </c>
      <c r="C647" s="8"/>
      <c r="D647" s="8"/>
      <c r="E647" s="9"/>
      <c r="F647" s="14" t="str">
        <f t="shared" si="42"/>
        <v/>
      </c>
      <c r="H647" s="91"/>
    </row>
    <row r="648" spans="1:8" s="5" customFormat="1" ht="12" x14ac:dyDescent="0.15">
      <c r="A648" s="6">
        <v>44629</v>
      </c>
      <c r="B648" s="7" t="s">
        <v>8</v>
      </c>
      <c r="C648" s="8"/>
      <c r="D648" s="8"/>
      <c r="E648" s="9"/>
      <c r="F648" s="14" t="str">
        <f t="shared" si="42"/>
        <v/>
      </c>
      <c r="H648" s="91"/>
    </row>
    <row r="649" spans="1:8" s="5" customFormat="1" ht="12" x14ac:dyDescent="0.15">
      <c r="A649" s="11">
        <v>44630</v>
      </c>
      <c r="B649" s="7" t="s">
        <v>8</v>
      </c>
      <c r="C649" s="8"/>
      <c r="D649" s="8"/>
      <c r="E649" s="9"/>
      <c r="F649" s="14" t="str">
        <f t="shared" si="42"/>
        <v/>
      </c>
      <c r="H649" s="91"/>
    </row>
    <row r="650" spans="1:8" s="5" customFormat="1" ht="12" x14ac:dyDescent="0.15">
      <c r="A650" s="6">
        <v>44631</v>
      </c>
      <c r="B650" s="7" t="s">
        <v>8</v>
      </c>
      <c r="C650" s="8"/>
      <c r="D650" s="8"/>
      <c r="E650" s="9"/>
      <c r="F650" s="14" t="str">
        <f t="shared" si="42"/>
        <v/>
      </c>
      <c r="H650" s="91"/>
    </row>
    <row r="651" spans="1:8" s="5" customFormat="1" ht="12" x14ac:dyDescent="0.15">
      <c r="A651" s="11">
        <v>44632</v>
      </c>
      <c r="B651" s="7" t="s">
        <v>8</v>
      </c>
      <c r="C651" s="8"/>
      <c r="D651" s="8"/>
      <c r="E651" s="9"/>
      <c r="F651" s="14" t="str">
        <f t="shared" si="42"/>
        <v/>
      </c>
      <c r="H651" s="91"/>
    </row>
    <row r="652" spans="1:8" s="5" customFormat="1" ht="12" x14ac:dyDescent="0.15">
      <c r="A652" s="34">
        <v>44633</v>
      </c>
      <c r="B652" s="35" t="s">
        <v>8</v>
      </c>
      <c r="C652" s="28"/>
      <c r="D652" s="8"/>
      <c r="E652" s="9"/>
      <c r="F652" s="14" t="str">
        <f t="shared" si="42"/>
        <v/>
      </c>
      <c r="G652" s="29"/>
      <c r="H652" s="92"/>
    </row>
    <row r="653" spans="1:8" s="5" customFormat="1" ht="12" x14ac:dyDescent="0.15">
      <c r="A653" s="36">
        <v>44634</v>
      </c>
      <c r="B653" s="31" t="s">
        <v>8</v>
      </c>
      <c r="C653" s="32"/>
      <c r="D653" s="8"/>
      <c r="E653" s="9"/>
      <c r="F653" s="14" t="str">
        <f t="shared" si="42"/>
        <v/>
      </c>
      <c r="G653" s="33"/>
      <c r="H653" s="90">
        <f t="shared" si="41"/>
        <v>0</v>
      </c>
    </row>
    <row r="654" spans="1:8" s="5" customFormat="1" ht="12" x14ac:dyDescent="0.15">
      <c r="A654" s="6">
        <v>44635</v>
      </c>
      <c r="B654" s="7" t="s">
        <v>8</v>
      </c>
      <c r="C654" s="8"/>
      <c r="D654" s="8"/>
      <c r="E654" s="9"/>
      <c r="F654" s="14" t="str">
        <f t="shared" si="42"/>
        <v/>
      </c>
      <c r="H654" s="91"/>
    </row>
    <row r="655" spans="1:8" s="5" customFormat="1" ht="12" x14ac:dyDescent="0.15">
      <c r="A655" s="11">
        <v>44636</v>
      </c>
      <c r="B655" s="7" t="s">
        <v>8</v>
      </c>
      <c r="C655" s="8"/>
      <c r="D655" s="8"/>
      <c r="E655" s="9"/>
      <c r="F655" s="14" t="str">
        <f t="shared" si="42"/>
        <v/>
      </c>
      <c r="H655" s="91"/>
    </row>
    <row r="656" spans="1:8" s="5" customFormat="1" ht="12" x14ac:dyDescent="0.15">
      <c r="A656" s="6">
        <v>44637</v>
      </c>
      <c r="B656" s="7" t="s">
        <v>8</v>
      </c>
      <c r="C656" s="8"/>
      <c r="D656" s="8"/>
      <c r="E656" s="9"/>
      <c r="F656" s="14" t="str">
        <f t="shared" si="42"/>
        <v/>
      </c>
      <c r="H656" s="91"/>
    </row>
    <row r="657" spans="1:8" s="5" customFormat="1" ht="12" x14ac:dyDescent="0.15">
      <c r="A657" s="11">
        <v>44638</v>
      </c>
      <c r="B657" s="7" t="s">
        <v>8</v>
      </c>
      <c r="C657" s="8"/>
      <c r="D657" s="8"/>
      <c r="E657" s="9"/>
      <c r="F657" s="14" t="str">
        <f t="shared" si="42"/>
        <v/>
      </c>
      <c r="H657" s="91"/>
    </row>
    <row r="658" spans="1:8" s="5" customFormat="1" ht="12" x14ac:dyDescent="0.15">
      <c r="A658" s="6">
        <v>44639</v>
      </c>
      <c r="B658" s="7" t="s">
        <v>8</v>
      </c>
      <c r="C658" s="8"/>
      <c r="D658" s="8"/>
      <c r="E658" s="9"/>
      <c r="F658" s="14" t="str">
        <f t="shared" si="42"/>
        <v/>
      </c>
      <c r="H658" s="91"/>
    </row>
    <row r="659" spans="1:8" s="5" customFormat="1" ht="12" x14ac:dyDescent="0.15">
      <c r="A659" s="43">
        <v>44640</v>
      </c>
      <c r="B659" s="35" t="s">
        <v>8</v>
      </c>
      <c r="C659" s="28"/>
      <c r="D659" s="8"/>
      <c r="E659" s="9"/>
      <c r="F659" s="14" t="str">
        <f t="shared" si="42"/>
        <v/>
      </c>
      <c r="G659" s="29"/>
      <c r="H659" s="92"/>
    </row>
    <row r="660" spans="1:8" s="5" customFormat="1" ht="12" x14ac:dyDescent="0.15">
      <c r="A660" s="30">
        <v>44641</v>
      </c>
      <c r="B660" s="31" t="s">
        <v>8</v>
      </c>
      <c r="C660" s="32"/>
      <c r="D660" s="8"/>
      <c r="E660" s="9"/>
      <c r="F660" s="14" t="str">
        <f t="shared" si="42"/>
        <v/>
      </c>
      <c r="G660" s="33"/>
      <c r="H660" s="90">
        <f t="shared" si="41"/>
        <v>0</v>
      </c>
    </row>
    <row r="661" spans="1:8" s="5" customFormat="1" ht="12" x14ac:dyDescent="0.15">
      <c r="A661" s="11">
        <v>44642</v>
      </c>
      <c r="B661" s="7" t="s">
        <v>8</v>
      </c>
      <c r="C661" s="8"/>
      <c r="D661" s="8"/>
      <c r="E661" s="9"/>
      <c r="F661" s="14" t="str">
        <f t="shared" si="42"/>
        <v/>
      </c>
      <c r="H661" s="91"/>
    </row>
    <row r="662" spans="1:8" s="5" customFormat="1" ht="12" x14ac:dyDescent="0.15">
      <c r="A662" s="6">
        <v>44643</v>
      </c>
      <c r="B662" s="7" t="s">
        <v>8</v>
      </c>
      <c r="C662" s="8"/>
      <c r="D662" s="8"/>
      <c r="E662" s="9"/>
      <c r="F662" s="14" t="str">
        <f t="shared" si="42"/>
        <v/>
      </c>
      <c r="H662" s="91"/>
    </row>
    <row r="663" spans="1:8" s="5" customFormat="1" ht="12" x14ac:dyDescent="0.15">
      <c r="A663" s="11">
        <v>44644</v>
      </c>
      <c r="B663" s="7" t="s">
        <v>8</v>
      </c>
      <c r="C663" s="8"/>
      <c r="D663" s="8"/>
      <c r="E663" s="9"/>
      <c r="F663" s="14" t="str">
        <f t="shared" si="42"/>
        <v/>
      </c>
      <c r="H663" s="91"/>
    </row>
    <row r="664" spans="1:8" s="5" customFormat="1" ht="12" x14ac:dyDescent="0.15">
      <c r="A664" s="6">
        <v>44645</v>
      </c>
      <c r="B664" s="7" t="s">
        <v>8</v>
      </c>
      <c r="C664" s="8"/>
      <c r="D664" s="8"/>
      <c r="E664" s="9"/>
      <c r="F664" s="14" t="str">
        <f t="shared" si="42"/>
        <v/>
      </c>
      <c r="H664" s="91"/>
    </row>
    <row r="665" spans="1:8" s="5" customFormat="1" ht="12" x14ac:dyDescent="0.15">
      <c r="A665" s="11">
        <v>44646</v>
      </c>
      <c r="B665" s="7" t="s">
        <v>8</v>
      </c>
      <c r="C665" s="8"/>
      <c r="D665" s="8"/>
      <c r="E665" s="9"/>
      <c r="F665" s="14" t="str">
        <f t="shared" si="42"/>
        <v/>
      </c>
      <c r="H665" s="91"/>
    </row>
    <row r="666" spans="1:8" s="5" customFormat="1" ht="12" x14ac:dyDescent="0.15">
      <c r="A666" s="34">
        <v>44647</v>
      </c>
      <c r="B666" s="35" t="s">
        <v>8</v>
      </c>
      <c r="C666" s="28"/>
      <c r="D666" s="8"/>
      <c r="E666" s="9"/>
      <c r="F666" s="14" t="str">
        <f t="shared" si="42"/>
        <v/>
      </c>
      <c r="G666" s="29"/>
      <c r="H666" s="92"/>
    </row>
    <row r="667" spans="1:8" s="5" customFormat="1" ht="12" x14ac:dyDescent="0.15">
      <c r="A667" s="36">
        <v>44648</v>
      </c>
      <c r="B667" s="31" t="s">
        <v>8</v>
      </c>
      <c r="C667" s="32"/>
      <c r="D667" s="8"/>
      <c r="E667" s="9"/>
      <c r="F667" s="14" t="str">
        <f t="shared" si="42"/>
        <v/>
      </c>
      <c r="G667" s="33"/>
      <c r="H667" s="90">
        <f t="shared" si="41"/>
        <v>0</v>
      </c>
    </row>
    <row r="668" spans="1:8" s="5" customFormat="1" ht="12" x14ac:dyDescent="0.15">
      <c r="A668" s="6">
        <v>44649</v>
      </c>
      <c r="B668" s="7" t="s">
        <v>8</v>
      </c>
      <c r="C668" s="8"/>
      <c r="D668" s="8"/>
      <c r="E668" s="9"/>
      <c r="F668" s="14" t="str">
        <f t="shared" si="42"/>
        <v/>
      </c>
      <c r="H668" s="91"/>
    </row>
    <row r="669" spans="1:8" s="5" customFormat="1" ht="12" x14ac:dyDescent="0.15">
      <c r="A669" s="11">
        <v>44650</v>
      </c>
      <c r="B669" s="7" t="s">
        <v>8</v>
      </c>
      <c r="C669" s="8"/>
      <c r="D669" s="8"/>
      <c r="E669" s="9"/>
      <c r="F669" s="14" t="str">
        <f t="shared" si="42"/>
        <v/>
      </c>
      <c r="H669" s="91"/>
    </row>
    <row r="670" spans="1:8" s="5" customFormat="1" ht="12" x14ac:dyDescent="0.15">
      <c r="A670" s="6">
        <v>44651</v>
      </c>
      <c r="B670" s="7" t="s">
        <v>8</v>
      </c>
      <c r="C670" s="8"/>
      <c r="D670" s="8"/>
      <c r="E670" s="9"/>
      <c r="F670" s="14" t="str">
        <f t="shared" si="42"/>
        <v/>
      </c>
      <c r="H670" s="91"/>
    </row>
    <row r="671" spans="1:8" s="5" customFormat="1" ht="12" x14ac:dyDescent="0.15">
      <c r="A671" s="11">
        <v>44652</v>
      </c>
      <c r="B671" s="7" t="s">
        <v>8</v>
      </c>
      <c r="C671" s="8"/>
      <c r="D671" s="8"/>
      <c r="E671" s="9"/>
      <c r="F671" s="14" t="str">
        <f t="shared" si="42"/>
        <v/>
      </c>
      <c r="H671" s="91"/>
    </row>
    <row r="672" spans="1:8" s="5" customFormat="1" ht="12" x14ac:dyDescent="0.15">
      <c r="A672" s="6">
        <v>44653</v>
      </c>
      <c r="B672" s="7" t="s">
        <v>8</v>
      </c>
      <c r="C672" s="8"/>
      <c r="D672" s="8"/>
      <c r="E672" s="9"/>
      <c r="F672" s="14" t="str">
        <f t="shared" si="42"/>
        <v/>
      </c>
      <c r="H672" s="91"/>
    </row>
    <row r="673" spans="1:8" s="5" customFormat="1" ht="12" x14ac:dyDescent="0.15">
      <c r="A673" s="43">
        <v>44654</v>
      </c>
      <c r="B673" s="35" t="s">
        <v>8</v>
      </c>
      <c r="C673" s="28"/>
      <c r="D673" s="8"/>
      <c r="E673" s="9"/>
      <c r="F673" s="14" t="str">
        <f t="shared" si="42"/>
        <v/>
      </c>
      <c r="G673" s="29"/>
      <c r="H673" s="92"/>
    </row>
    <row r="674" spans="1:8" s="5" customFormat="1" ht="12" x14ac:dyDescent="0.15">
      <c r="A674" s="30">
        <v>44655</v>
      </c>
      <c r="B674" s="31" t="s">
        <v>8</v>
      </c>
      <c r="C674" s="32"/>
      <c r="D674" s="8"/>
      <c r="E674" s="9"/>
      <c r="F674" s="14" t="str">
        <f t="shared" si="42"/>
        <v/>
      </c>
      <c r="G674" s="33"/>
      <c r="H674" s="90">
        <f t="shared" si="41"/>
        <v>0</v>
      </c>
    </row>
    <row r="675" spans="1:8" s="5" customFormat="1" ht="12" x14ac:dyDescent="0.15">
      <c r="A675" s="11">
        <v>44656</v>
      </c>
      <c r="B675" s="7" t="s">
        <v>8</v>
      </c>
      <c r="C675" s="8"/>
      <c r="D675" s="8"/>
      <c r="E675" s="9"/>
      <c r="F675" s="14" t="str">
        <f t="shared" si="42"/>
        <v/>
      </c>
      <c r="H675" s="91"/>
    </row>
    <row r="676" spans="1:8" s="5" customFormat="1" ht="12" x14ac:dyDescent="0.15">
      <c r="A676" s="6">
        <v>44657</v>
      </c>
      <c r="B676" s="7" t="s">
        <v>8</v>
      </c>
      <c r="C676" s="8"/>
      <c r="D676" s="8"/>
      <c r="E676" s="9"/>
      <c r="F676" s="14" t="str">
        <f t="shared" si="42"/>
        <v/>
      </c>
      <c r="H676" s="91"/>
    </row>
    <row r="677" spans="1:8" s="5" customFormat="1" ht="12" x14ac:dyDescent="0.15">
      <c r="A677" s="11">
        <v>44658</v>
      </c>
      <c r="B677" s="7" t="s">
        <v>8</v>
      </c>
      <c r="C677" s="8"/>
      <c r="D677" s="8"/>
      <c r="E677" s="9"/>
      <c r="F677" s="14" t="str">
        <f t="shared" si="42"/>
        <v/>
      </c>
      <c r="H677" s="91"/>
    </row>
    <row r="678" spans="1:8" s="5" customFormat="1" ht="12" x14ac:dyDescent="0.15">
      <c r="A678" s="6">
        <v>44659</v>
      </c>
      <c r="B678" s="7" t="s">
        <v>8</v>
      </c>
      <c r="C678" s="8"/>
      <c r="D678" s="8"/>
      <c r="E678" s="9"/>
      <c r="F678" s="14" t="str">
        <f t="shared" si="42"/>
        <v/>
      </c>
      <c r="H678" s="91"/>
    </row>
    <row r="679" spans="1:8" s="5" customFormat="1" ht="12" x14ac:dyDescent="0.15">
      <c r="A679" s="11">
        <v>44660</v>
      </c>
      <c r="B679" s="7" t="s">
        <v>8</v>
      </c>
      <c r="C679" s="8"/>
      <c r="D679" s="8"/>
      <c r="E679" s="9"/>
      <c r="F679" s="14" t="str">
        <f t="shared" si="42"/>
        <v/>
      </c>
      <c r="H679" s="91"/>
    </row>
    <row r="680" spans="1:8" s="5" customFormat="1" ht="12" x14ac:dyDescent="0.15">
      <c r="A680" s="34">
        <v>44661</v>
      </c>
      <c r="B680" s="35" t="s">
        <v>8</v>
      </c>
      <c r="C680" s="28"/>
      <c r="D680" s="8"/>
      <c r="E680" s="9"/>
      <c r="F680" s="14" t="str">
        <f t="shared" si="42"/>
        <v/>
      </c>
      <c r="G680" s="29"/>
      <c r="H680" s="92"/>
    </row>
    <row r="681" spans="1:8" s="5" customFormat="1" ht="12" x14ac:dyDescent="0.15">
      <c r="A681" s="36">
        <v>44662</v>
      </c>
      <c r="B681" s="31" t="s">
        <v>8</v>
      </c>
      <c r="C681" s="32"/>
      <c r="D681" s="8"/>
      <c r="E681" s="9"/>
      <c r="F681" s="14" t="str">
        <f t="shared" si="42"/>
        <v/>
      </c>
      <c r="G681" s="33"/>
      <c r="H681" s="90">
        <f t="shared" si="41"/>
        <v>0</v>
      </c>
    </row>
    <row r="682" spans="1:8" s="5" customFormat="1" ht="12" x14ac:dyDescent="0.15">
      <c r="A682" s="6">
        <v>44663</v>
      </c>
      <c r="B682" s="7" t="s">
        <v>8</v>
      </c>
      <c r="C682" s="8"/>
      <c r="D682" s="8"/>
      <c r="E682" s="9"/>
      <c r="F682" s="14" t="str">
        <f t="shared" si="42"/>
        <v/>
      </c>
      <c r="H682" s="91"/>
    </row>
    <row r="683" spans="1:8" s="5" customFormat="1" ht="12" x14ac:dyDescent="0.15">
      <c r="A683" s="11">
        <v>44664</v>
      </c>
      <c r="B683" s="7" t="s">
        <v>8</v>
      </c>
      <c r="C683" s="8"/>
      <c r="D683" s="8"/>
      <c r="E683" s="9"/>
      <c r="F683" s="14" t="str">
        <f t="shared" si="42"/>
        <v/>
      </c>
      <c r="H683" s="91"/>
    </row>
    <row r="684" spans="1:8" s="5" customFormat="1" ht="12" x14ac:dyDescent="0.15">
      <c r="A684" s="6">
        <v>44665</v>
      </c>
      <c r="B684" s="7" t="s">
        <v>8</v>
      </c>
      <c r="C684" s="8"/>
      <c r="D684" s="8"/>
      <c r="E684" s="9"/>
      <c r="F684" s="14" t="str">
        <f t="shared" si="42"/>
        <v/>
      </c>
      <c r="H684" s="91"/>
    </row>
    <row r="685" spans="1:8" s="5" customFormat="1" ht="12" x14ac:dyDescent="0.15">
      <c r="A685" s="11">
        <v>44666</v>
      </c>
      <c r="B685" s="7" t="s">
        <v>8</v>
      </c>
      <c r="C685" s="8"/>
      <c r="D685" s="8"/>
      <c r="E685" s="9"/>
      <c r="F685" s="14" t="str">
        <f t="shared" si="42"/>
        <v/>
      </c>
      <c r="H685" s="91"/>
    </row>
    <row r="686" spans="1:8" s="5" customFormat="1" ht="12" x14ac:dyDescent="0.15">
      <c r="A686" s="6">
        <v>44667</v>
      </c>
      <c r="B686" s="7" t="s">
        <v>8</v>
      </c>
      <c r="C686" s="8"/>
      <c r="D686" s="8"/>
      <c r="E686" s="9"/>
      <c r="F686" s="14" t="str">
        <f t="shared" si="42"/>
        <v/>
      </c>
      <c r="H686" s="91"/>
    </row>
    <row r="687" spans="1:8" s="5" customFormat="1" ht="12" x14ac:dyDescent="0.15">
      <c r="A687" s="43">
        <v>44668</v>
      </c>
      <c r="B687" s="35" t="s">
        <v>8</v>
      </c>
      <c r="C687" s="28"/>
      <c r="D687" s="8"/>
      <c r="E687" s="9"/>
      <c r="F687" s="14" t="str">
        <f t="shared" si="42"/>
        <v/>
      </c>
      <c r="G687" s="29"/>
      <c r="H687" s="92"/>
    </row>
    <row r="688" spans="1:8" s="5" customFormat="1" ht="12" x14ac:dyDescent="0.15">
      <c r="A688" s="30">
        <v>44669</v>
      </c>
      <c r="B688" s="31" t="s">
        <v>8</v>
      </c>
      <c r="C688" s="32"/>
      <c r="D688" s="8"/>
      <c r="E688" s="9"/>
      <c r="F688" s="14" t="str">
        <f t="shared" si="42"/>
        <v/>
      </c>
      <c r="G688" s="33"/>
      <c r="H688" s="90">
        <f t="shared" ref="H688:H709" si="43">SUM(F688:F694)</f>
        <v>34.666666666666671</v>
      </c>
    </row>
    <row r="689" spans="1:8" s="5" customFormat="1" ht="12" x14ac:dyDescent="0.15">
      <c r="A689" s="11">
        <v>44670</v>
      </c>
      <c r="B689" s="7" t="s">
        <v>12</v>
      </c>
      <c r="C689" s="8" t="s">
        <v>10</v>
      </c>
      <c r="D689" s="8" t="s">
        <v>11</v>
      </c>
      <c r="E689" s="9"/>
      <c r="F689" s="14">
        <f t="shared" si="42"/>
        <v>8.6666666666666679</v>
      </c>
      <c r="H689" s="91"/>
    </row>
    <row r="690" spans="1:8" s="5" customFormat="1" ht="12" x14ac:dyDescent="0.15">
      <c r="A690" s="6">
        <v>44671</v>
      </c>
      <c r="B690" s="7" t="s">
        <v>12</v>
      </c>
      <c r="C690" s="8" t="s">
        <v>10</v>
      </c>
      <c r="D690" s="8" t="s">
        <v>11</v>
      </c>
      <c r="E690" s="9"/>
      <c r="F690" s="14">
        <f t="shared" si="42"/>
        <v>8.6666666666666679</v>
      </c>
      <c r="H690" s="91"/>
    </row>
    <row r="691" spans="1:8" s="5" customFormat="1" ht="12" x14ac:dyDescent="0.15">
      <c r="A691" s="11">
        <v>44672</v>
      </c>
      <c r="B691" s="7" t="s">
        <v>9</v>
      </c>
      <c r="C691" s="8" t="s">
        <v>10</v>
      </c>
      <c r="D691" s="8" t="s">
        <v>11</v>
      </c>
      <c r="E691" s="9"/>
      <c r="F691" s="14">
        <f t="shared" si="42"/>
        <v>8.6666666666666679</v>
      </c>
      <c r="H691" s="91"/>
    </row>
    <row r="692" spans="1:8" s="5" customFormat="1" ht="12" x14ac:dyDescent="0.15">
      <c r="A692" s="6">
        <v>44673</v>
      </c>
      <c r="B692" s="7" t="s">
        <v>9</v>
      </c>
      <c r="C692" s="8" t="s">
        <v>10</v>
      </c>
      <c r="D692" s="8" t="s">
        <v>11</v>
      </c>
      <c r="E692" s="9"/>
      <c r="F692" s="14">
        <f t="shared" si="42"/>
        <v>8.6666666666666679</v>
      </c>
      <c r="H692" s="91"/>
    </row>
    <row r="693" spans="1:8" s="5" customFormat="1" ht="12" x14ac:dyDescent="0.15">
      <c r="A693" s="11">
        <v>44674</v>
      </c>
      <c r="B693" s="7" t="s">
        <v>8</v>
      </c>
      <c r="C693" s="8"/>
      <c r="D693" s="8"/>
      <c r="E693" s="9"/>
      <c r="F693" s="14" t="str">
        <f t="shared" si="42"/>
        <v/>
      </c>
      <c r="H693" s="91"/>
    </row>
    <row r="694" spans="1:8" s="5" customFormat="1" ht="12" x14ac:dyDescent="0.15">
      <c r="A694" s="34">
        <v>44675</v>
      </c>
      <c r="B694" s="35" t="s">
        <v>8</v>
      </c>
      <c r="C694" s="28"/>
      <c r="D694" s="8"/>
      <c r="E694" s="9"/>
      <c r="F694" s="14" t="str">
        <f t="shared" si="42"/>
        <v/>
      </c>
      <c r="G694" s="29"/>
      <c r="H694" s="92"/>
    </row>
    <row r="695" spans="1:8" s="5" customFormat="1" ht="12" x14ac:dyDescent="0.15">
      <c r="A695" s="36">
        <v>44676</v>
      </c>
      <c r="B695" s="31" t="s">
        <v>8</v>
      </c>
      <c r="C695" s="32"/>
      <c r="D695" s="8"/>
      <c r="E695" s="9"/>
      <c r="F695" s="14" t="str">
        <f t="shared" si="42"/>
        <v/>
      </c>
      <c r="G695" s="33"/>
      <c r="H695" s="90">
        <f t="shared" si="43"/>
        <v>26.000000000000004</v>
      </c>
    </row>
    <row r="696" spans="1:8" s="5" customFormat="1" ht="12" x14ac:dyDescent="0.15">
      <c r="A696" s="6">
        <v>44677</v>
      </c>
      <c r="B696" s="7" t="s">
        <v>8</v>
      </c>
      <c r="C696" s="8"/>
      <c r="D696" s="8"/>
      <c r="E696" s="9"/>
      <c r="F696" s="14" t="str">
        <f t="shared" si="42"/>
        <v/>
      </c>
      <c r="H696" s="91"/>
    </row>
    <row r="697" spans="1:8" s="5" customFormat="1" ht="12" x14ac:dyDescent="0.15">
      <c r="A697" s="11">
        <v>44678</v>
      </c>
      <c r="B697" s="7" t="s">
        <v>12</v>
      </c>
      <c r="C697" s="8" t="s">
        <v>10</v>
      </c>
      <c r="D697" s="8" t="s">
        <v>11</v>
      </c>
      <c r="E697" s="9"/>
      <c r="F697" s="14">
        <f t="shared" si="42"/>
        <v>8.6666666666666679</v>
      </c>
      <c r="H697" s="91"/>
    </row>
    <row r="698" spans="1:8" s="5" customFormat="1" ht="12" x14ac:dyDescent="0.15">
      <c r="A698" s="6">
        <v>44679</v>
      </c>
      <c r="B698" s="7" t="s">
        <v>12</v>
      </c>
      <c r="C698" s="8" t="s">
        <v>10</v>
      </c>
      <c r="D698" s="8" t="s">
        <v>11</v>
      </c>
      <c r="E698" s="9"/>
      <c r="F698" s="14">
        <f t="shared" si="42"/>
        <v>8.6666666666666679</v>
      </c>
      <c r="H698" s="91"/>
    </row>
    <row r="699" spans="1:8" s="5" customFormat="1" ht="12" x14ac:dyDescent="0.15">
      <c r="A699" s="11">
        <v>44680</v>
      </c>
      <c r="B699" s="7" t="s">
        <v>9</v>
      </c>
      <c r="C699" s="8" t="s">
        <v>10</v>
      </c>
      <c r="D699" s="8" t="s">
        <v>11</v>
      </c>
      <c r="E699" s="9"/>
      <c r="F699" s="14">
        <f t="shared" si="42"/>
        <v>8.6666666666666679</v>
      </c>
      <c r="H699" s="91"/>
    </row>
    <row r="700" spans="1:8" s="5" customFormat="1" ht="12" x14ac:dyDescent="0.15">
      <c r="A700" s="6">
        <v>44681</v>
      </c>
      <c r="B700" s="7" t="s">
        <v>8</v>
      </c>
      <c r="C700" s="8"/>
      <c r="D700" s="8"/>
      <c r="E700" s="9"/>
      <c r="F700" s="14" t="str">
        <f t="shared" si="42"/>
        <v/>
      </c>
      <c r="H700" s="91"/>
    </row>
    <row r="701" spans="1:8" s="5" customFormat="1" ht="12" x14ac:dyDescent="0.15">
      <c r="A701" s="43">
        <v>44682</v>
      </c>
      <c r="B701" s="35" t="s">
        <v>8</v>
      </c>
      <c r="C701" s="28"/>
      <c r="D701" s="8"/>
      <c r="E701" s="9"/>
      <c r="F701" s="14" t="str">
        <f t="shared" si="42"/>
        <v/>
      </c>
      <c r="G701" s="29"/>
      <c r="H701" s="92"/>
    </row>
    <row r="702" spans="1:8" s="5" customFormat="1" ht="12" x14ac:dyDescent="0.15">
      <c r="A702" s="30">
        <v>44683</v>
      </c>
      <c r="B702" s="31" t="s">
        <v>8</v>
      </c>
      <c r="C702" s="32"/>
      <c r="D702" s="8"/>
      <c r="E702" s="9"/>
      <c r="F702" s="14" t="str">
        <f t="shared" si="42"/>
        <v/>
      </c>
      <c r="G702" s="33"/>
      <c r="H702" s="90">
        <f t="shared" si="43"/>
        <v>34.666666666666671</v>
      </c>
    </row>
    <row r="703" spans="1:8" s="5" customFormat="1" ht="12" x14ac:dyDescent="0.15">
      <c r="A703" s="11">
        <v>44684</v>
      </c>
      <c r="B703" s="7" t="s">
        <v>9</v>
      </c>
      <c r="C703" s="8" t="s">
        <v>10</v>
      </c>
      <c r="D703" s="8" t="s">
        <v>11</v>
      </c>
      <c r="E703" s="9"/>
      <c r="F703" s="14">
        <f t="shared" si="42"/>
        <v>8.6666666666666679</v>
      </c>
      <c r="H703" s="91"/>
    </row>
    <row r="704" spans="1:8" s="5" customFormat="1" ht="12" x14ac:dyDescent="0.15">
      <c r="A704" s="6">
        <v>44685</v>
      </c>
      <c r="B704" s="7" t="s">
        <v>9</v>
      </c>
      <c r="C704" s="8" t="s">
        <v>10</v>
      </c>
      <c r="D704" s="8" t="s">
        <v>11</v>
      </c>
      <c r="E704" s="9"/>
      <c r="F704" s="14">
        <f t="shared" si="42"/>
        <v>8.6666666666666679</v>
      </c>
      <c r="H704" s="91"/>
    </row>
    <row r="705" spans="1:8" s="5" customFormat="1" ht="12" x14ac:dyDescent="0.15">
      <c r="A705" s="11">
        <v>44686</v>
      </c>
      <c r="B705" s="7" t="s">
        <v>12</v>
      </c>
      <c r="C705" s="8" t="s">
        <v>10</v>
      </c>
      <c r="D705" s="8" t="s">
        <v>11</v>
      </c>
      <c r="E705" s="9"/>
      <c r="F705" s="14">
        <f t="shared" si="42"/>
        <v>8.6666666666666679</v>
      </c>
      <c r="H705" s="91"/>
    </row>
    <row r="706" spans="1:8" s="5" customFormat="1" ht="12" x14ac:dyDescent="0.15">
      <c r="A706" s="6">
        <v>44687</v>
      </c>
      <c r="B706" s="7" t="s">
        <v>12</v>
      </c>
      <c r="C706" s="8" t="s">
        <v>10</v>
      </c>
      <c r="D706" s="8" t="s">
        <v>11</v>
      </c>
      <c r="E706" s="9"/>
      <c r="F706" s="14">
        <f t="shared" si="42"/>
        <v>8.6666666666666679</v>
      </c>
      <c r="H706" s="91"/>
    </row>
    <row r="707" spans="1:8" s="5" customFormat="1" ht="12" x14ac:dyDescent="0.15">
      <c r="A707" s="11">
        <v>44688</v>
      </c>
      <c r="B707" s="7" t="s">
        <v>8</v>
      </c>
      <c r="C707" s="8"/>
      <c r="D707" s="8"/>
      <c r="E707" s="9"/>
      <c r="F707" s="14" t="str">
        <f t="shared" si="42"/>
        <v/>
      </c>
      <c r="H707" s="91"/>
    </row>
    <row r="708" spans="1:8" s="5" customFormat="1" ht="12" x14ac:dyDescent="0.15">
      <c r="A708" s="34">
        <v>44689</v>
      </c>
      <c r="B708" s="35" t="s">
        <v>8</v>
      </c>
      <c r="C708" s="28"/>
      <c r="D708" s="8"/>
      <c r="E708" s="9"/>
      <c r="F708" s="14" t="str">
        <f t="shared" si="42"/>
        <v/>
      </c>
      <c r="G708" s="29"/>
      <c r="H708" s="92"/>
    </row>
    <row r="709" spans="1:8" s="5" customFormat="1" ht="12" x14ac:dyDescent="0.15">
      <c r="A709" s="36">
        <v>44690</v>
      </c>
      <c r="B709" s="31" t="s">
        <v>12</v>
      </c>
      <c r="C709" s="32" t="s">
        <v>10</v>
      </c>
      <c r="D709" s="8" t="s">
        <v>11</v>
      </c>
      <c r="E709" s="9"/>
      <c r="F709" s="14">
        <f t="shared" ref="F709:F772" si="44">IF(C709="", "", IF(D709="", "", (D709-C709)*24 - E709))</f>
        <v>8.6666666666666679</v>
      </c>
      <c r="G709" s="33"/>
      <c r="H709" s="90">
        <f t="shared" si="43"/>
        <v>43.333333333333343</v>
      </c>
    </row>
    <row r="710" spans="1:8" s="5" customFormat="1" ht="12" x14ac:dyDescent="0.15">
      <c r="A710" s="6">
        <v>44691</v>
      </c>
      <c r="B710" s="7" t="s">
        <v>12</v>
      </c>
      <c r="C710" s="8" t="s">
        <v>10</v>
      </c>
      <c r="D710" s="8" t="s">
        <v>11</v>
      </c>
      <c r="E710" s="9"/>
      <c r="F710" s="14">
        <f t="shared" si="44"/>
        <v>8.6666666666666679</v>
      </c>
      <c r="H710" s="91"/>
    </row>
    <row r="711" spans="1:8" s="5" customFormat="1" ht="12" x14ac:dyDescent="0.15">
      <c r="A711" s="11">
        <v>44692</v>
      </c>
      <c r="B711" s="7" t="s">
        <v>9</v>
      </c>
      <c r="C711" s="8" t="s">
        <v>10</v>
      </c>
      <c r="D711" s="8" t="s">
        <v>11</v>
      </c>
      <c r="E711" s="9"/>
      <c r="F711" s="14">
        <f t="shared" si="44"/>
        <v>8.6666666666666679</v>
      </c>
      <c r="H711" s="91"/>
    </row>
    <row r="712" spans="1:8" s="5" customFormat="1" ht="12" x14ac:dyDescent="0.15">
      <c r="A712" s="6">
        <v>44693</v>
      </c>
      <c r="B712" s="7" t="s">
        <v>9</v>
      </c>
      <c r="C712" s="8" t="s">
        <v>10</v>
      </c>
      <c r="D712" s="8" t="s">
        <v>11</v>
      </c>
      <c r="E712" s="9"/>
      <c r="F712" s="14">
        <f t="shared" si="44"/>
        <v>8.6666666666666679</v>
      </c>
      <c r="H712" s="91"/>
    </row>
    <row r="713" spans="1:8" s="5" customFormat="1" ht="12" x14ac:dyDescent="0.15">
      <c r="A713" s="11">
        <v>44694</v>
      </c>
      <c r="B713" s="7" t="s">
        <v>12</v>
      </c>
      <c r="C713" s="8" t="s">
        <v>10</v>
      </c>
      <c r="D713" s="8" t="s">
        <v>11</v>
      </c>
      <c r="E713" s="9"/>
      <c r="F713" s="14">
        <f t="shared" si="44"/>
        <v>8.6666666666666679</v>
      </c>
      <c r="H713" s="91"/>
    </row>
    <row r="714" spans="1:8" s="5" customFormat="1" ht="12" x14ac:dyDescent="0.15">
      <c r="A714" s="6">
        <v>44695</v>
      </c>
      <c r="B714" s="7" t="s">
        <v>8</v>
      </c>
      <c r="C714" s="8"/>
      <c r="D714" s="8"/>
      <c r="E714" s="9"/>
      <c r="F714" s="14" t="str">
        <f t="shared" si="44"/>
        <v/>
      </c>
      <c r="H714" s="91"/>
    </row>
    <row r="715" spans="1:8" s="5" customFormat="1" ht="12" x14ac:dyDescent="0.15">
      <c r="A715" s="43">
        <v>44696</v>
      </c>
      <c r="B715" s="35" t="s">
        <v>8</v>
      </c>
      <c r="C715" s="28"/>
      <c r="D715" s="8"/>
      <c r="E715" s="9"/>
      <c r="F715" s="14" t="str">
        <f t="shared" si="44"/>
        <v/>
      </c>
      <c r="G715" s="29"/>
      <c r="H715" s="92"/>
    </row>
    <row r="716" spans="1:8" s="5" customFormat="1" ht="12" x14ac:dyDescent="0.15">
      <c r="A716" s="30">
        <v>44697</v>
      </c>
      <c r="B716" s="31" t="s">
        <v>9</v>
      </c>
      <c r="C716" s="32" t="s">
        <v>10</v>
      </c>
      <c r="D716" s="8" t="s">
        <v>11</v>
      </c>
      <c r="E716" s="9"/>
      <c r="F716" s="14">
        <f t="shared" si="44"/>
        <v>8.6666666666666679</v>
      </c>
      <c r="G716" s="33"/>
      <c r="H716" s="90">
        <f t="shared" ref="H716:H751" si="45">SUM(F716:F722)</f>
        <v>43.333333333333343</v>
      </c>
    </row>
    <row r="717" spans="1:8" s="5" customFormat="1" ht="12" x14ac:dyDescent="0.15">
      <c r="A717" s="11">
        <v>44698</v>
      </c>
      <c r="B717" s="7" t="s">
        <v>9</v>
      </c>
      <c r="C717" s="8" t="s">
        <v>10</v>
      </c>
      <c r="D717" s="8" t="s">
        <v>11</v>
      </c>
      <c r="E717" s="9"/>
      <c r="F717" s="14">
        <f t="shared" si="44"/>
        <v>8.6666666666666679</v>
      </c>
      <c r="H717" s="91"/>
    </row>
    <row r="718" spans="1:8" s="5" customFormat="1" ht="12" x14ac:dyDescent="0.15">
      <c r="A718" s="6">
        <v>44699</v>
      </c>
      <c r="B718" s="7" t="s">
        <v>9</v>
      </c>
      <c r="C718" s="8" t="s">
        <v>10</v>
      </c>
      <c r="D718" s="8" t="s">
        <v>11</v>
      </c>
      <c r="E718" s="9"/>
      <c r="F718" s="14">
        <f t="shared" si="44"/>
        <v>8.6666666666666679</v>
      </c>
      <c r="H718" s="91"/>
    </row>
    <row r="719" spans="1:8" s="5" customFormat="1" ht="12" x14ac:dyDescent="0.15">
      <c r="A719" s="11">
        <v>44700</v>
      </c>
      <c r="B719" s="7" t="s">
        <v>9</v>
      </c>
      <c r="C719" s="8" t="s">
        <v>10</v>
      </c>
      <c r="D719" s="8" t="s">
        <v>11</v>
      </c>
      <c r="E719" s="9"/>
      <c r="F719" s="14">
        <f t="shared" si="44"/>
        <v>8.6666666666666679</v>
      </c>
      <c r="H719" s="91"/>
    </row>
    <row r="720" spans="1:8" s="5" customFormat="1" ht="12" x14ac:dyDescent="0.15">
      <c r="A720" s="6">
        <v>44701</v>
      </c>
      <c r="B720" s="7" t="s">
        <v>9</v>
      </c>
      <c r="C720" s="8" t="s">
        <v>10</v>
      </c>
      <c r="D720" s="8" t="s">
        <v>11</v>
      </c>
      <c r="E720" s="9"/>
      <c r="F720" s="14">
        <f t="shared" si="44"/>
        <v>8.6666666666666679</v>
      </c>
      <c r="H720" s="91"/>
    </row>
    <row r="721" spans="1:8" s="5" customFormat="1" ht="12" x14ac:dyDescent="0.15">
      <c r="A721" s="11">
        <v>44702</v>
      </c>
      <c r="B721" s="7" t="s">
        <v>8</v>
      </c>
      <c r="C721" s="8"/>
      <c r="D721" s="8"/>
      <c r="E721" s="9"/>
      <c r="F721" s="14" t="str">
        <f t="shared" si="44"/>
        <v/>
      </c>
      <c r="H721" s="91"/>
    </row>
    <row r="722" spans="1:8" s="5" customFormat="1" ht="12" x14ac:dyDescent="0.15">
      <c r="A722" s="34">
        <v>44703</v>
      </c>
      <c r="B722" s="35" t="s">
        <v>8</v>
      </c>
      <c r="C722" s="28"/>
      <c r="D722" s="8"/>
      <c r="E722" s="9"/>
      <c r="F722" s="14" t="str">
        <f t="shared" si="44"/>
        <v/>
      </c>
      <c r="G722" s="29"/>
      <c r="H722" s="92"/>
    </row>
    <row r="723" spans="1:8" s="5" customFormat="1" ht="12" x14ac:dyDescent="0.15">
      <c r="A723" s="25">
        <v>44704</v>
      </c>
      <c r="B723" s="24" t="s">
        <v>9</v>
      </c>
      <c r="C723" s="8" t="s">
        <v>10</v>
      </c>
      <c r="D723" s="8" t="s">
        <v>11</v>
      </c>
      <c r="E723" s="9"/>
      <c r="F723" s="14">
        <f t="shared" si="44"/>
        <v>8.6666666666666679</v>
      </c>
      <c r="H723" s="91">
        <f t="shared" si="45"/>
        <v>43.333333333333343</v>
      </c>
    </row>
    <row r="724" spans="1:8" s="5" customFormat="1" ht="12" x14ac:dyDescent="0.15">
      <c r="A724" s="6">
        <v>44705</v>
      </c>
      <c r="B724" s="7" t="s">
        <v>12</v>
      </c>
      <c r="C724" s="8" t="s">
        <v>10</v>
      </c>
      <c r="D724" s="8" t="s">
        <v>11</v>
      </c>
      <c r="E724" s="9"/>
      <c r="F724" s="14">
        <f t="shared" si="44"/>
        <v>8.6666666666666679</v>
      </c>
      <c r="H724" s="91"/>
    </row>
    <row r="725" spans="1:8" s="5" customFormat="1" ht="12" x14ac:dyDescent="0.15">
      <c r="A725" s="11">
        <v>44706</v>
      </c>
      <c r="B725" s="7" t="s">
        <v>12</v>
      </c>
      <c r="C725" s="8" t="s">
        <v>10</v>
      </c>
      <c r="D725" s="8" t="s">
        <v>11</v>
      </c>
      <c r="E725" s="9"/>
      <c r="F725" s="14">
        <f t="shared" si="44"/>
        <v>8.6666666666666679</v>
      </c>
      <c r="H725" s="91"/>
    </row>
    <row r="726" spans="1:8" s="5" customFormat="1" ht="12" x14ac:dyDescent="0.15">
      <c r="A726" s="6">
        <v>44707</v>
      </c>
      <c r="B726" s="7" t="s">
        <v>9</v>
      </c>
      <c r="C726" s="8" t="s">
        <v>10</v>
      </c>
      <c r="D726" s="8" t="s">
        <v>11</v>
      </c>
      <c r="E726" s="9"/>
      <c r="F726" s="14">
        <f t="shared" si="44"/>
        <v>8.6666666666666679</v>
      </c>
      <c r="H726" s="91"/>
    </row>
    <row r="727" spans="1:8" s="5" customFormat="1" ht="12" x14ac:dyDescent="0.15">
      <c r="A727" s="11">
        <v>44708</v>
      </c>
      <c r="B727" s="7" t="s">
        <v>9</v>
      </c>
      <c r="C727" s="8" t="s">
        <v>10</v>
      </c>
      <c r="D727" s="8" t="s">
        <v>11</v>
      </c>
      <c r="E727" s="9"/>
      <c r="F727" s="14">
        <f t="shared" si="44"/>
        <v>8.6666666666666679</v>
      </c>
      <c r="H727" s="91"/>
    </row>
    <row r="728" spans="1:8" s="5" customFormat="1" ht="12" x14ac:dyDescent="0.15">
      <c r="A728" s="6">
        <v>44709</v>
      </c>
      <c r="B728" s="7" t="s">
        <v>8</v>
      </c>
      <c r="C728" s="8"/>
      <c r="D728" s="8"/>
      <c r="E728" s="9"/>
      <c r="F728" s="14" t="str">
        <f t="shared" si="44"/>
        <v/>
      </c>
      <c r="H728" s="91"/>
    </row>
    <row r="729" spans="1:8" s="5" customFormat="1" ht="12" x14ac:dyDescent="0.15">
      <c r="A729" s="43">
        <v>44710</v>
      </c>
      <c r="B729" s="35" t="s">
        <v>8</v>
      </c>
      <c r="C729" s="28"/>
      <c r="D729" s="8"/>
      <c r="E729" s="9"/>
      <c r="F729" s="14" t="str">
        <f t="shared" si="44"/>
        <v/>
      </c>
      <c r="G729" s="29"/>
      <c r="H729" s="92"/>
    </row>
    <row r="730" spans="1:8" s="5" customFormat="1" ht="12" x14ac:dyDescent="0.15">
      <c r="A730" s="30">
        <v>44711</v>
      </c>
      <c r="B730" s="31" t="s">
        <v>8</v>
      </c>
      <c r="C730" s="32"/>
      <c r="D730" s="8"/>
      <c r="E730" s="9"/>
      <c r="F730" s="14" t="str">
        <f t="shared" si="44"/>
        <v/>
      </c>
      <c r="G730" s="33"/>
      <c r="H730" s="90">
        <f t="shared" si="45"/>
        <v>17.333333333333336</v>
      </c>
    </row>
    <row r="731" spans="1:8" s="5" customFormat="1" ht="12" x14ac:dyDescent="0.15">
      <c r="A731" s="11">
        <v>44712</v>
      </c>
      <c r="B731" s="7" t="s">
        <v>8</v>
      </c>
      <c r="C731" s="8"/>
      <c r="D731" s="8"/>
      <c r="E731" s="9"/>
      <c r="F731" s="14" t="str">
        <f t="shared" si="44"/>
        <v/>
      </c>
      <c r="H731" s="91"/>
    </row>
    <row r="732" spans="1:8" s="5" customFormat="1" ht="12" x14ac:dyDescent="0.15">
      <c r="A732" s="6">
        <v>44713</v>
      </c>
      <c r="B732" s="7" t="s">
        <v>8</v>
      </c>
      <c r="C732" s="8"/>
      <c r="D732" s="8"/>
      <c r="E732" s="9"/>
      <c r="F732" s="14" t="str">
        <f t="shared" si="44"/>
        <v/>
      </c>
      <c r="H732" s="91"/>
    </row>
    <row r="733" spans="1:8" s="5" customFormat="1" ht="12" x14ac:dyDescent="0.15">
      <c r="A733" s="11">
        <v>44714</v>
      </c>
      <c r="B733" s="7" t="s">
        <v>9</v>
      </c>
      <c r="C733" s="8" t="s">
        <v>10</v>
      </c>
      <c r="D733" s="8" t="s">
        <v>11</v>
      </c>
      <c r="E733" s="9"/>
      <c r="F733" s="14">
        <f t="shared" si="44"/>
        <v>8.6666666666666679</v>
      </c>
      <c r="H733" s="91"/>
    </row>
    <row r="734" spans="1:8" s="5" customFormat="1" ht="12" x14ac:dyDescent="0.15">
      <c r="A734" s="6">
        <v>44715</v>
      </c>
      <c r="B734" s="7" t="s">
        <v>9</v>
      </c>
      <c r="C734" s="8" t="s">
        <v>10</v>
      </c>
      <c r="D734" s="8" t="s">
        <v>11</v>
      </c>
      <c r="E734" s="9"/>
      <c r="F734" s="14">
        <f t="shared" si="44"/>
        <v>8.6666666666666679</v>
      </c>
      <c r="H734" s="91"/>
    </row>
    <row r="735" spans="1:8" s="5" customFormat="1" ht="12" x14ac:dyDescent="0.15">
      <c r="A735" s="11">
        <v>44716</v>
      </c>
      <c r="B735" s="7" t="s">
        <v>8</v>
      </c>
      <c r="C735" s="8"/>
      <c r="D735" s="8"/>
      <c r="E735" s="9"/>
      <c r="F735" s="14" t="str">
        <f t="shared" si="44"/>
        <v/>
      </c>
      <c r="H735" s="91"/>
    </row>
    <row r="736" spans="1:8" s="5" customFormat="1" ht="12" x14ac:dyDescent="0.15">
      <c r="A736" s="34">
        <v>44717</v>
      </c>
      <c r="B736" s="35" t="s">
        <v>8</v>
      </c>
      <c r="C736" s="28"/>
      <c r="D736" s="8"/>
      <c r="E736" s="9"/>
      <c r="F736" s="14" t="str">
        <f t="shared" si="44"/>
        <v/>
      </c>
      <c r="G736" s="29"/>
      <c r="H736" s="92"/>
    </row>
    <row r="737" spans="1:8" s="5" customFormat="1" ht="12" x14ac:dyDescent="0.15">
      <c r="A737" s="36">
        <v>44718</v>
      </c>
      <c r="B737" s="31" t="s">
        <v>8</v>
      </c>
      <c r="C737" s="32"/>
      <c r="D737" s="8"/>
      <c r="E737" s="9"/>
      <c r="F737" s="14" t="str">
        <f t="shared" si="44"/>
        <v/>
      </c>
      <c r="G737" s="33"/>
      <c r="H737" s="90">
        <f t="shared" si="45"/>
        <v>0</v>
      </c>
    </row>
    <row r="738" spans="1:8" s="5" customFormat="1" ht="12" x14ac:dyDescent="0.15">
      <c r="A738" s="6">
        <v>44719</v>
      </c>
      <c r="B738" s="7" t="s">
        <v>8</v>
      </c>
      <c r="C738" s="8"/>
      <c r="D738" s="8"/>
      <c r="E738" s="9"/>
      <c r="F738" s="14" t="str">
        <f t="shared" si="44"/>
        <v/>
      </c>
      <c r="H738" s="91"/>
    </row>
    <row r="739" spans="1:8" s="5" customFormat="1" ht="12" x14ac:dyDescent="0.15">
      <c r="A739" s="11">
        <v>44720</v>
      </c>
      <c r="B739" s="7" t="s">
        <v>8</v>
      </c>
      <c r="C739" s="8"/>
      <c r="D739" s="8"/>
      <c r="E739" s="9"/>
      <c r="F739" s="14" t="str">
        <f t="shared" si="44"/>
        <v/>
      </c>
      <c r="H739" s="91"/>
    </row>
    <row r="740" spans="1:8" s="5" customFormat="1" ht="12" x14ac:dyDescent="0.15">
      <c r="A740" s="6">
        <v>44721</v>
      </c>
      <c r="B740" s="7" t="s">
        <v>8</v>
      </c>
      <c r="C740" s="8"/>
      <c r="D740" s="8"/>
      <c r="E740" s="9"/>
      <c r="F740" s="14" t="str">
        <f t="shared" si="44"/>
        <v/>
      </c>
      <c r="H740" s="91"/>
    </row>
    <row r="741" spans="1:8" s="5" customFormat="1" ht="12" x14ac:dyDescent="0.15">
      <c r="A741" s="11">
        <v>44722</v>
      </c>
      <c r="B741" s="7" t="s">
        <v>8</v>
      </c>
      <c r="C741" s="8"/>
      <c r="D741" s="8"/>
      <c r="E741" s="9"/>
      <c r="F741" s="14" t="str">
        <f t="shared" si="44"/>
        <v/>
      </c>
      <c r="H741" s="91"/>
    </row>
    <row r="742" spans="1:8" s="5" customFormat="1" ht="12" x14ac:dyDescent="0.15">
      <c r="A742" s="6">
        <v>44723</v>
      </c>
      <c r="B742" s="7" t="s">
        <v>8</v>
      </c>
      <c r="C742" s="8"/>
      <c r="D742" s="8"/>
      <c r="E742" s="9"/>
      <c r="F742" s="14" t="str">
        <f t="shared" si="44"/>
        <v/>
      </c>
      <c r="H742" s="91"/>
    </row>
    <row r="743" spans="1:8" s="5" customFormat="1" ht="12" x14ac:dyDescent="0.15">
      <c r="A743" s="43">
        <v>44724</v>
      </c>
      <c r="B743" s="35" t="s">
        <v>8</v>
      </c>
      <c r="C743" s="28"/>
      <c r="D743" s="8"/>
      <c r="E743" s="9"/>
      <c r="F743" s="14" t="str">
        <f t="shared" si="44"/>
        <v/>
      </c>
      <c r="G743" s="29"/>
      <c r="H743" s="92"/>
    </row>
    <row r="744" spans="1:8" s="5" customFormat="1" ht="12" x14ac:dyDescent="0.15">
      <c r="A744" s="30">
        <v>44725</v>
      </c>
      <c r="B744" s="31" t="s">
        <v>9</v>
      </c>
      <c r="C744" s="32" t="s">
        <v>10</v>
      </c>
      <c r="D744" s="8" t="s">
        <v>11</v>
      </c>
      <c r="E744" s="9"/>
      <c r="F744" s="14">
        <f t="shared" si="44"/>
        <v>8.6666666666666679</v>
      </c>
      <c r="G744" s="33"/>
      <c r="H744" s="90">
        <f t="shared" si="45"/>
        <v>43.333333333333343</v>
      </c>
    </row>
    <row r="745" spans="1:8" s="5" customFormat="1" ht="12" x14ac:dyDescent="0.15">
      <c r="A745" s="11">
        <v>44726</v>
      </c>
      <c r="B745" s="7" t="s">
        <v>9</v>
      </c>
      <c r="C745" s="8" t="s">
        <v>10</v>
      </c>
      <c r="D745" s="8" t="s">
        <v>11</v>
      </c>
      <c r="E745" s="9"/>
      <c r="F745" s="14">
        <f t="shared" si="44"/>
        <v>8.6666666666666679</v>
      </c>
      <c r="H745" s="91"/>
    </row>
    <row r="746" spans="1:8" s="5" customFormat="1" ht="12" x14ac:dyDescent="0.15">
      <c r="A746" s="6">
        <v>44727</v>
      </c>
      <c r="B746" s="7" t="s">
        <v>9</v>
      </c>
      <c r="C746" s="8" t="s">
        <v>10</v>
      </c>
      <c r="D746" s="8" t="s">
        <v>11</v>
      </c>
      <c r="E746" s="9"/>
      <c r="F746" s="14">
        <f t="shared" si="44"/>
        <v>8.6666666666666679</v>
      </c>
      <c r="H746" s="91"/>
    </row>
    <row r="747" spans="1:8" s="5" customFormat="1" ht="12" x14ac:dyDescent="0.15">
      <c r="A747" s="11">
        <v>44728</v>
      </c>
      <c r="B747" s="7" t="s">
        <v>12</v>
      </c>
      <c r="C747" s="8" t="s">
        <v>10</v>
      </c>
      <c r="D747" s="8" t="s">
        <v>11</v>
      </c>
      <c r="E747" s="9"/>
      <c r="F747" s="14">
        <f t="shared" si="44"/>
        <v>8.6666666666666679</v>
      </c>
      <c r="H747" s="91"/>
    </row>
    <row r="748" spans="1:8" s="5" customFormat="1" ht="12" x14ac:dyDescent="0.15">
      <c r="A748" s="6">
        <v>44729</v>
      </c>
      <c r="B748" s="7" t="s">
        <v>12</v>
      </c>
      <c r="C748" s="8" t="s">
        <v>10</v>
      </c>
      <c r="D748" s="8" t="s">
        <v>11</v>
      </c>
      <c r="E748" s="9"/>
      <c r="F748" s="14">
        <f t="shared" si="44"/>
        <v>8.6666666666666679</v>
      </c>
      <c r="H748" s="91"/>
    </row>
    <row r="749" spans="1:8" s="5" customFormat="1" ht="12" x14ac:dyDescent="0.15">
      <c r="A749" s="11">
        <v>44730</v>
      </c>
      <c r="B749" s="7" t="s">
        <v>8</v>
      </c>
      <c r="C749" s="8"/>
      <c r="D749" s="8"/>
      <c r="E749" s="9"/>
      <c r="F749" s="14" t="str">
        <f t="shared" si="44"/>
        <v/>
      </c>
      <c r="H749" s="91"/>
    </row>
    <row r="750" spans="1:8" s="5" customFormat="1" ht="12" x14ac:dyDescent="0.15">
      <c r="A750" s="34">
        <v>44731</v>
      </c>
      <c r="B750" s="35" t="s">
        <v>8</v>
      </c>
      <c r="C750" s="28"/>
      <c r="D750" s="8"/>
      <c r="E750" s="9"/>
      <c r="F750" s="14" t="str">
        <f t="shared" si="44"/>
        <v/>
      </c>
      <c r="G750" s="29"/>
      <c r="H750" s="92"/>
    </row>
    <row r="751" spans="1:8" s="5" customFormat="1" ht="12" x14ac:dyDescent="0.15">
      <c r="A751" s="36">
        <v>44732</v>
      </c>
      <c r="B751" s="31" t="s">
        <v>8</v>
      </c>
      <c r="C751" s="32"/>
      <c r="D751" s="8"/>
      <c r="E751" s="9"/>
      <c r="F751" s="14" t="str">
        <f t="shared" si="44"/>
        <v/>
      </c>
      <c r="G751" s="33"/>
      <c r="H751" s="90">
        <f t="shared" si="45"/>
        <v>34.666666666666671</v>
      </c>
    </row>
    <row r="752" spans="1:8" s="5" customFormat="1" ht="12" x14ac:dyDescent="0.15">
      <c r="A752" s="6">
        <v>44733</v>
      </c>
      <c r="B752" s="7" t="s">
        <v>9</v>
      </c>
      <c r="C752" s="8" t="s">
        <v>10</v>
      </c>
      <c r="D752" s="8" t="s">
        <v>11</v>
      </c>
      <c r="E752" s="9"/>
      <c r="F752" s="14">
        <f t="shared" si="44"/>
        <v>8.6666666666666679</v>
      </c>
      <c r="H752" s="91"/>
    </row>
    <row r="753" spans="1:8" s="5" customFormat="1" ht="12" x14ac:dyDescent="0.15">
      <c r="A753" s="11">
        <v>44734</v>
      </c>
      <c r="B753" s="7" t="s">
        <v>9</v>
      </c>
      <c r="C753" s="8" t="s">
        <v>10</v>
      </c>
      <c r="D753" s="8" t="s">
        <v>11</v>
      </c>
      <c r="E753" s="9"/>
      <c r="F753" s="14">
        <f t="shared" si="44"/>
        <v>8.6666666666666679</v>
      </c>
      <c r="H753" s="91"/>
    </row>
    <row r="754" spans="1:8" s="5" customFormat="1" ht="12" x14ac:dyDescent="0.15">
      <c r="A754" s="6">
        <v>44735</v>
      </c>
      <c r="B754" s="7" t="s">
        <v>12</v>
      </c>
      <c r="C754" s="8" t="s">
        <v>10</v>
      </c>
      <c r="D754" s="8" t="s">
        <v>11</v>
      </c>
      <c r="E754" s="9"/>
      <c r="F754" s="14">
        <f t="shared" si="44"/>
        <v>8.6666666666666679</v>
      </c>
      <c r="H754" s="91"/>
    </row>
    <row r="755" spans="1:8" s="5" customFormat="1" ht="12" x14ac:dyDescent="0.15">
      <c r="A755" s="11">
        <v>44736</v>
      </c>
      <c r="B755" s="7" t="s">
        <v>12</v>
      </c>
      <c r="C755" s="8" t="s">
        <v>10</v>
      </c>
      <c r="D755" s="8" t="s">
        <v>11</v>
      </c>
      <c r="E755" s="9"/>
      <c r="F755" s="14">
        <f t="shared" si="44"/>
        <v>8.6666666666666679</v>
      </c>
      <c r="H755" s="91"/>
    </row>
    <row r="756" spans="1:8" s="5" customFormat="1" ht="12" x14ac:dyDescent="0.15">
      <c r="A756" s="6">
        <v>44737</v>
      </c>
      <c r="B756" s="7" t="s">
        <v>8</v>
      </c>
      <c r="C756" s="8"/>
      <c r="D756" s="8"/>
      <c r="E756" s="9"/>
      <c r="F756" s="14" t="str">
        <f t="shared" si="44"/>
        <v/>
      </c>
      <c r="H756" s="91"/>
    </row>
    <row r="757" spans="1:8" s="5" customFormat="1" ht="12" x14ac:dyDescent="0.15">
      <c r="A757" s="43">
        <v>44738</v>
      </c>
      <c r="B757" s="35" t="s">
        <v>8</v>
      </c>
      <c r="C757" s="28"/>
      <c r="D757" s="8"/>
      <c r="E757" s="9"/>
      <c r="F757" s="14" t="str">
        <f t="shared" si="44"/>
        <v/>
      </c>
      <c r="G757" s="29"/>
      <c r="H757" s="92"/>
    </row>
    <row r="758" spans="1:8" s="5" customFormat="1" ht="12" x14ac:dyDescent="0.15">
      <c r="A758" s="23">
        <v>44739</v>
      </c>
      <c r="B758" s="24" t="s">
        <v>9</v>
      </c>
      <c r="C758" s="8" t="s">
        <v>10</v>
      </c>
      <c r="D758" s="8" t="s">
        <v>11</v>
      </c>
      <c r="E758" s="9"/>
      <c r="F758" s="14">
        <f t="shared" si="44"/>
        <v>8.6666666666666679</v>
      </c>
      <c r="H758" s="91">
        <f>SUM(F758:F763)</f>
        <v>43.333333333333343</v>
      </c>
    </row>
    <row r="759" spans="1:8" s="5" customFormat="1" ht="12" x14ac:dyDescent="0.15">
      <c r="A759" s="11">
        <v>44740</v>
      </c>
      <c r="B759" s="7" t="s">
        <v>9</v>
      </c>
      <c r="C759" s="8" t="s">
        <v>10</v>
      </c>
      <c r="D759" s="8" t="s">
        <v>11</v>
      </c>
      <c r="E759" s="9"/>
      <c r="F759" s="14">
        <f t="shared" si="44"/>
        <v>8.6666666666666679</v>
      </c>
      <c r="H759" s="91"/>
    </row>
    <row r="760" spans="1:8" s="5" customFormat="1" ht="12" x14ac:dyDescent="0.15">
      <c r="A760" s="6">
        <v>44741</v>
      </c>
      <c r="B760" s="7" t="s">
        <v>9</v>
      </c>
      <c r="C760" s="8" t="s">
        <v>10</v>
      </c>
      <c r="D760" s="8" t="s">
        <v>11</v>
      </c>
      <c r="E760" s="9"/>
      <c r="F760" s="14">
        <f t="shared" si="44"/>
        <v>8.6666666666666679</v>
      </c>
      <c r="H760" s="91"/>
    </row>
    <row r="761" spans="1:8" s="5" customFormat="1" ht="12.75" thickBot="1" x14ac:dyDescent="0.2">
      <c r="A761" s="37">
        <v>44742</v>
      </c>
      <c r="B761" s="38" t="s">
        <v>9</v>
      </c>
      <c r="C761" s="39" t="s">
        <v>10</v>
      </c>
      <c r="D761" s="39" t="s">
        <v>11</v>
      </c>
      <c r="E761" s="40"/>
      <c r="F761" s="41">
        <f t="shared" si="44"/>
        <v>8.6666666666666679</v>
      </c>
      <c r="G761" s="42"/>
      <c r="H761" s="91"/>
    </row>
    <row r="762" spans="1:8" s="5" customFormat="1" ht="12.75" thickTop="1" x14ac:dyDescent="0.15">
      <c r="A762" s="44">
        <v>44743</v>
      </c>
      <c r="B762" s="45" t="s">
        <v>9</v>
      </c>
      <c r="C762" s="8" t="s">
        <v>10</v>
      </c>
      <c r="D762" s="8" t="s">
        <v>11</v>
      </c>
      <c r="E762" s="9"/>
      <c r="F762" s="14">
        <f t="shared" si="44"/>
        <v>8.6666666666666679</v>
      </c>
      <c r="H762" s="91"/>
    </row>
    <row r="763" spans="1:8" s="5" customFormat="1" ht="12" x14ac:dyDescent="0.15">
      <c r="A763" s="11">
        <v>44744</v>
      </c>
      <c r="B763" s="7" t="s">
        <v>8</v>
      </c>
      <c r="C763" s="8"/>
      <c r="D763" s="8"/>
      <c r="E763" s="9"/>
      <c r="F763" s="14" t="str">
        <f t="shared" si="44"/>
        <v/>
      </c>
      <c r="H763" s="91"/>
    </row>
    <row r="764" spans="1:8" s="5" customFormat="1" ht="12" x14ac:dyDescent="0.15">
      <c r="A764" s="34">
        <v>44745</v>
      </c>
      <c r="B764" s="35" t="s">
        <v>8</v>
      </c>
      <c r="C764" s="28"/>
      <c r="D764" s="8"/>
      <c r="E764" s="9"/>
      <c r="F764" s="14" t="str">
        <f t="shared" si="44"/>
        <v/>
      </c>
      <c r="G764" s="29"/>
      <c r="H764" s="92"/>
    </row>
    <row r="765" spans="1:8" s="5" customFormat="1" ht="12" x14ac:dyDescent="0.15">
      <c r="A765" s="36">
        <v>44746</v>
      </c>
      <c r="B765" s="31" t="s">
        <v>14</v>
      </c>
      <c r="C765" s="32"/>
      <c r="D765" s="8"/>
      <c r="E765" s="9"/>
      <c r="F765" s="14" t="str">
        <f t="shared" si="44"/>
        <v/>
      </c>
      <c r="G765" s="33"/>
      <c r="H765" s="90">
        <f t="shared" ref="H765" si="46">SUM(F765:F771)</f>
        <v>34.666666666666671</v>
      </c>
    </row>
    <row r="766" spans="1:8" s="5" customFormat="1" ht="12" x14ac:dyDescent="0.15">
      <c r="A766" s="6">
        <v>44747</v>
      </c>
      <c r="B766" s="7" t="s">
        <v>9</v>
      </c>
      <c r="C766" s="8" t="s">
        <v>10</v>
      </c>
      <c r="D766" s="8" t="s">
        <v>11</v>
      </c>
      <c r="E766" s="9"/>
      <c r="F766" s="14">
        <f t="shared" si="44"/>
        <v>8.6666666666666679</v>
      </c>
      <c r="H766" s="91"/>
    </row>
    <row r="767" spans="1:8" s="5" customFormat="1" ht="12" x14ac:dyDescent="0.15">
      <c r="A767" s="11">
        <v>44748</v>
      </c>
      <c r="B767" s="7" t="s">
        <v>9</v>
      </c>
      <c r="C767" s="8" t="s">
        <v>10</v>
      </c>
      <c r="D767" s="8" t="s">
        <v>11</v>
      </c>
      <c r="E767" s="9"/>
      <c r="F767" s="14">
        <f t="shared" si="44"/>
        <v>8.6666666666666679</v>
      </c>
      <c r="H767" s="91"/>
    </row>
    <row r="768" spans="1:8" s="5" customFormat="1" ht="12" x14ac:dyDescent="0.15">
      <c r="A768" s="6">
        <v>44749</v>
      </c>
      <c r="B768" s="7" t="s">
        <v>9</v>
      </c>
      <c r="C768" s="8" t="s">
        <v>10</v>
      </c>
      <c r="D768" s="8" t="s">
        <v>11</v>
      </c>
      <c r="E768" s="9"/>
      <c r="F768" s="14">
        <f t="shared" si="44"/>
        <v>8.6666666666666679</v>
      </c>
      <c r="H768" s="91"/>
    </row>
    <row r="769" spans="1:8" s="5" customFormat="1" ht="12" x14ac:dyDescent="0.15">
      <c r="A769" s="11">
        <v>44750</v>
      </c>
      <c r="B769" s="7" t="s">
        <v>9</v>
      </c>
      <c r="C769" s="8" t="s">
        <v>10</v>
      </c>
      <c r="D769" s="8" t="s">
        <v>11</v>
      </c>
      <c r="E769" s="9"/>
      <c r="F769" s="14">
        <f t="shared" si="44"/>
        <v>8.6666666666666679</v>
      </c>
      <c r="H769" s="91"/>
    </row>
    <row r="770" spans="1:8" s="5" customFormat="1" ht="12" x14ac:dyDescent="0.15">
      <c r="A770" s="6">
        <v>44751</v>
      </c>
      <c r="B770" s="7" t="s">
        <v>8</v>
      </c>
      <c r="C770" s="8"/>
      <c r="D770" s="8"/>
      <c r="E770" s="9"/>
      <c r="F770" s="14" t="str">
        <f t="shared" si="44"/>
        <v/>
      </c>
      <c r="H770" s="91"/>
    </row>
    <row r="771" spans="1:8" s="5" customFormat="1" ht="12" x14ac:dyDescent="0.15">
      <c r="A771" s="43">
        <v>44752</v>
      </c>
      <c r="B771" s="35" t="s">
        <v>8</v>
      </c>
      <c r="C771" s="28"/>
      <c r="D771" s="8"/>
      <c r="E771" s="9"/>
      <c r="F771" s="14" t="str">
        <f t="shared" si="44"/>
        <v/>
      </c>
      <c r="G771" s="29"/>
      <c r="H771" s="92"/>
    </row>
    <row r="772" spans="1:8" s="5" customFormat="1" ht="12" x14ac:dyDescent="0.15">
      <c r="A772" s="30">
        <v>44753</v>
      </c>
      <c r="B772" s="31" t="s">
        <v>8</v>
      </c>
      <c r="C772" s="32"/>
      <c r="D772" s="8"/>
      <c r="E772" s="9"/>
      <c r="F772" s="14" t="str">
        <f t="shared" si="44"/>
        <v/>
      </c>
      <c r="G772" s="33"/>
      <c r="H772" s="90">
        <f t="shared" ref="H772:H779" si="47">SUM(F772:F778)</f>
        <v>26.000000000000004</v>
      </c>
    </row>
    <row r="773" spans="1:8" s="5" customFormat="1" ht="12" x14ac:dyDescent="0.15">
      <c r="A773" s="11">
        <v>44754</v>
      </c>
      <c r="B773" s="7" t="s">
        <v>8</v>
      </c>
      <c r="C773" s="8"/>
      <c r="D773" s="8"/>
      <c r="E773" s="9"/>
      <c r="F773" s="14" t="str">
        <f t="shared" ref="F773:F836" si="48">IF(C773="", "", IF(D773="", "", (D773-C773)*24 - E773))</f>
        <v/>
      </c>
      <c r="H773" s="91"/>
    </row>
    <row r="774" spans="1:8" s="5" customFormat="1" ht="12" x14ac:dyDescent="0.15">
      <c r="A774" s="6">
        <v>44755</v>
      </c>
      <c r="B774" s="7" t="s">
        <v>9</v>
      </c>
      <c r="C774" s="8" t="s">
        <v>10</v>
      </c>
      <c r="D774" s="8" t="s">
        <v>11</v>
      </c>
      <c r="E774" s="9"/>
      <c r="F774" s="14">
        <f t="shared" si="48"/>
        <v>8.6666666666666679</v>
      </c>
      <c r="H774" s="91"/>
    </row>
    <row r="775" spans="1:8" s="5" customFormat="1" ht="12" x14ac:dyDescent="0.15">
      <c r="A775" s="11">
        <v>44756</v>
      </c>
      <c r="B775" s="7" t="s">
        <v>12</v>
      </c>
      <c r="C775" s="8" t="s">
        <v>10</v>
      </c>
      <c r="D775" s="8" t="s">
        <v>11</v>
      </c>
      <c r="E775" s="9"/>
      <c r="F775" s="14">
        <f t="shared" si="48"/>
        <v>8.6666666666666679</v>
      </c>
      <c r="H775" s="91"/>
    </row>
    <row r="776" spans="1:8" s="5" customFormat="1" ht="12" x14ac:dyDescent="0.15">
      <c r="A776" s="6">
        <v>44757</v>
      </c>
      <c r="B776" s="7" t="s">
        <v>9</v>
      </c>
      <c r="C776" s="8" t="s">
        <v>10</v>
      </c>
      <c r="D776" s="8" t="s">
        <v>11</v>
      </c>
      <c r="E776" s="9"/>
      <c r="F776" s="14">
        <f t="shared" si="48"/>
        <v>8.6666666666666679</v>
      </c>
      <c r="H776" s="91"/>
    </row>
    <row r="777" spans="1:8" s="5" customFormat="1" ht="12" x14ac:dyDescent="0.15">
      <c r="A777" s="11">
        <v>44758</v>
      </c>
      <c r="B777" s="7" t="s">
        <v>8</v>
      </c>
      <c r="C777" s="8"/>
      <c r="D777" s="8"/>
      <c r="E777" s="9"/>
      <c r="F777" s="14" t="str">
        <f t="shared" si="48"/>
        <v/>
      </c>
      <c r="H777" s="91"/>
    </row>
    <row r="778" spans="1:8" s="5" customFormat="1" ht="12" x14ac:dyDescent="0.15">
      <c r="A778" s="34">
        <v>44759</v>
      </c>
      <c r="B778" s="35" t="s">
        <v>8</v>
      </c>
      <c r="C778" s="28"/>
      <c r="D778" s="8"/>
      <c r="E778" s="9"/>
      <c r="F778" s="14" t="str">
        <f t="shared" si="48"/>
        <v/>
      </c>
      <c r="G778" s="29"/>
      <c r="H778" s="92"/>
    </row>
    <row r="779" spans="1:8" s="5" customFormat="1" ht="12" x14ac:dyDescent="0.15">
      <c r="A779" s="36">
        <v>44760</v>
      </c>
      <c r="B779" s="31" t="s">
        <v>14</v>
      </c>
      <c r="C779" s="32"/>
      <c r="D779" s="8"/>
      <c r="E779" s="9"/>
      <c r="F779" s="14" t="str">
        <f t="shared" si="48"/>
        <v/>
      </c>
      <c r="G779" s="33"/>
      <c r="H779" s="90">
        <f t="shared" si="47"/>
        <v>52.000000000000014</v>
      </c>
    </row>
    <row r="780" spans="1:8" s="5" customFormat="1" ht="12" x14ac:dyDescent="0.15">
      <c r="A780" s="6">
        <v>44761</v>
      </c>
      <c r="B780" s="7" t="s">
        <v>9</v>
      </c>
      <c r="C780" s="8" t="s">
        <v>10</v>
      </c>
      <c r="D780" s="8" t="s">
        <v>11</v>
      </c>
      <c r="E780" s="9"/>
      <c r="F780" s="14">
        <f t="shared" si="48"/>
        <v>8.6666666666666679</v>
      </c>
      <c r="H780" s="91"/>
    </row>
    <row r="781" spans="1:8" s="5" customFormat="1" ht="12" x14ac:dyDescent="0.15">
      <c r="A781" s="11">
        <v>44762</v>
      </c>
      <c r="B781" s="7" t="s">
        <v>9</v>
      </c>
      <c r="C781" s="8" t="s">
        <v>10</v>
      </c>
      <c r="D781" s="8" t="s">
        <v>11</v>
      </c>
      <c r="E781" s="9"/>
      <c r="F781" s="14">
        <f t="shared" si="48"/>
        <v>8.6666666666666679</v>
      </c>
      <c r="H781" s="91"/>
    </row>
    <row r="782" spans="1:8" s="5" customFormat="1" ht="12" x14ac:dyDescent="0.15">
      <c r="A782" s="6">
        <v>44763</v>
      </c>
      <c r="B782" s="7" t="s">
        <v>9</v>
      </c>
      <c r="C782" s="8" t="s">
        <v>10</v>
      </c>
      <c r="D782" s="8" t="s">
        <v>11</v>
      </c>
      <c r="E782" s="9"/>
      <c r="F782" s="14">
        <f t="shared" si="48"/>
        <v>8.6666666666666679</v>
      </c>
      <c r="H782" s="91"/>
    </row>
    <row r="783" spans="1:8" s="5" customFormat="1" ht="12" x14ac:dyDescent="0.15">
      <c r="A783" s="11">
        <v>44764</v>
      </c>
      <c r="B783" s="7" t="s">
        <v>9</v>
      </c>
      <c r="C783" s="8" t="s">
        <v>10</v>
      </c>
      <c r="D783" s="8" t="s">
        <v>11</v>
      </c>
      <c r="E783" s="9"/>
      <c r="F783" s="14">
        <f t="shared" si="48"/>
        <v>8.6666666666666679</v>
      </c>
      <c r="H783" s="91"/>
    </row>
    <row r="784" spans="1:8" s="5" customFormat="1" ht="12" x14ac:dyDescent="0.15">
      <c r="A784" s="6">
        <v>44765</v>
      </c>
      <c r="B784" s="7" t="s">
        <v>15</v>
      </c>
      <c r="C784" s="8" t="s">
        <v>10</v>
      </c>
      <c r="D784" s="8" t="s">
        <v>11</v>
      </c>
      <c r="E784" s="9"/>
      <c r="F784" s="14">
        <f t="shared" si="48"/>
        <v>8.6666666666666679</v>
      </c>
      <c r="H784" s="91"/>
    </row>
    <row r="785" spans="1:8" s="5" customFormat="1" ht="12" x14ac:dyDescent="0.15">
      <c r="A785" s="11">
        <v>44766</v>
      </c>
      <c r="B785" s="7" t="s">
        <v>15</v>
      </c>
      <c r="C785" s="8" t="s">
        <v>10</v>
      </c>
      <c r="D785" s="8" t="s">
        <v>11</v>
      </c>
      <c r="E785" s="9"/>
      <c r="F785" s="14">
        <f t="shared" si="48"/>
        <v>8.6666666666666679</v>
      </c>
      <c r="H785" s="91"/>
    </row>
    <row r="786" spans="1:8" s="5" customFormat="1" ht="12" x14ac:dyDescent="0.15">
      <c r="A786" s="30">
        <v>44767</v>
      </c>
      <c r="B786" s="31" t="s">
        <v>9</v>
      </c>
      <c r="C786" s="32" t="s">
        <v>10</v>
      </c>
      <c r="D786" s="8" t="s">
        <v>11</v>
      </c>
      <c r="E786" s="9"/>
      <c r="F786" s="14">
        <f t="shared" si="48"/>
        <v>8.6666666666666679</v>
      </c>
      <c r="G786" s="46">
        <v>1</v>
      </c>
      <c r="H786" s="90">
        <f>SUM(F786:G792)</f>
        <v>68.166666666666686</v>
      </c>
    </row>
    <row r="787" spans="1:8" s="5" customFormat="1" ht="12" x14ac:dyDescent="0.15">
      <c r="A787" s="11">
        <v>44768</v>
      </c>
      <c r="B787" s="7" t="s">
        <v>9</v>
      </c>
      <c r="C787" s="8" t="s">
        <v>10</v>
      </c>
      <c r="D787" s="8" t="s">
        <v>11</v>
      </c>
      <c r="E787" s="9"/>
      <c r="F787" s="14">
        <f t="shared" si="48"/>
        <v>8.6666666666666679</v>
      </c>
      <c r="G787" s="47">
        <v>1.5</v>
      </c>
      <c r="H787" s="91"/>
    </row>
    <row r="788" spans="1:8" s="5" customFormat="1" ht="12" x14ac:dyDescent="0.15">
      <c r="A788" s="6">
        <v>44769</v>
      </c>
      <c r="B788" s="7" t="s">
        <v>9</v>
      </c>
      <c r="C788" s="8" t="s">
        <v>10</v>
      </c>
      <c r="D788" s="8" t="s">
        <v>11</v>
      </c>
      <c r="E788" s="9"/>
      <c r="F788" s="14">
        <f t="shared" si="48"/>
        <v>8.6666666666666679</v>
      </c>
      <c r="G788" s="47">
        <v>0.5</v>
      </c>
      <c r="H788" s="91"/>
    </row>
    <row r="789" spans="1:8" s="5" customFormat="1" ht="12" x14ac:dyDescent="0.15">
      <c r="A789" s="11">
        <v>44770</v>
      </c>
      <c r="B789" s="7" t="s">
        <v>9</v>
      </c>
      <c r="C789" s="8" t="s">
        <v>10</v>
      </c>
      <c r="D789" s="8" t="s">
        <v>11</v>
      </c>
      <c r="E789" s="9"/>
      <c r="F789" s="14">
        <f t="shared" si="48"/>
        <v>8.6666666666666679</v>
      </c>
      <c r="G789" s="47">
        <v>1.5</v>
      </c>
      <c r="H789" s="91"/>
    </row>
    <row r="790" spans="1:8" s="5" customFormat="1" ht="12" x14ac:dyDescent="0.15">
      <c r="A790" s="6">
        <v>44771</v>
      </c>
      <c r="B790" s="7" t="s">
        <v>9</v>
      </c>
      <c r="C790" s="8" t="s">
        <v>10</v>
      </c>
      <c r="D790" s="8" t="s">
        <v>11</v>
      </c>
      <c r="E790" s="9"/>
      <c r="F790" s="14">
        <f t="shared" si="48"/>
        <v>8.6666666666666679</v>
      </c>
      <c r="G790" s="47">
        <v>0.5</v>
      </c>
      <c r="H790" s="91"/>
    </row>
    <row r="791" spans="1:8" s="5" customFormat="1" ht="12" x14ac:dyDescent="0.15">
      <c r="A791" s="11">
        <v>44772</v>
      </c>
      <c r="B791" s="7" t="s">
        <v>15</v>
      </c>
      <c r="C791" s="8" t="s">
        <v>10</v>
      </c>
      <c r="D791" s="8" t="s">
        <v>11</v>
      </c>
      <c r="E791" s="9"/>
      <c r="F791" s="14">
        <f t="shared" si="48"/>
        <v>8.6666666666666679</v>
      </c>
      <c r="G791" s="47">
        <v>1.5</v>
      </c>
      <c r="H791" s="91"/>
    </row>
    <row r="792" spans="1:8" s="5" customFormat="1" ht="12" x14ac:dyDescent="0.15">
      <c r="A792" s="34">
        <v>44773</v>
      </c>
      <c r="B792" s="35" t="s">
        <v>15</v>
      </c>
      <c r="C792" s="28" t="s">
        <v>10</v>
      </c>
      <c r="D792" s="8" t="s">
        <v>11</v>
      </c>
      <c r="E792" s="9"/>
      <c r="F792" s="14">
        <f t="shared" si="48"/>
        <v>8.6666666666666679</v>
      </c>
      <c r="G792" s="48">
        <v>1</v>
      </c>
      <c r="H792" s="92"/>
    </row>
    <row r="793" spans="1:8" s="5" customFormat="1" ht="12" x14ac:dyDescent="0.15">
      <c r="A793" s="36">
        <v>44774</v>
      </c>
      <c r="B793" s="31" t="s">
        <v>9</v>
      </c>
      <c r="C793" s="32" t="s">
        <v>10</v>
      </c>
      <c r="D793" s="8" t="s">
        <v>11</v>
      </c>
      <c r="E793" s="9"/>
      <c r="F793" s="14">
        <f t="shared" si="48"/>
        <v>8.6666666666666679</v>
      </c>
      <c r="G793" s="46">
        <v>1</v>
      </c>
      <c r="H793" s="90">
        <f t="shared" ref="H793" si="49">SUM(F793:G799)</f>
        <v>59.500000000000014</v>
      </c>
    </row>
    <row r="794" spans="1:8" s="5" customFormat="1" ht="12" x14ac:dyDescent="0.15">
      <c r="A794" s="6">
        <v>44775</v>
      </c>
      <c r="B794" s="7" t="s">
        <v>9</v>
      </c>
      <c r="C794" s="8" t="s">
        <v>10</v>
      </c>
      <c r="D794" s="8" t="s">
        <v>11</v>
      </c>
      <c r="E794" s="9"/>
      <c r="F794" s="14">
        <f t="shared" si="48"/>
        <v>8.6666666666666679</v>
      </c>
      <c r="G794" s="47"/>
      <c r="H794" s="91"/>
    </row>
    <row r="795" spans="1:8" s="5" customFormat="1" ht="12" x14ac:dyDescent="0.15">
      <c r="A795" s="11">
        <v>44776</v>
      </c>
      <c r="B795" s="7" t="s">
        <v>9</v>
      </c>
      <c r="C795" s="8" t="s">
        <v>10</v>
      </c>
      <c r="D795" s="8" t="s">
        <v>11</v>
      </c>
      <c r="E795" s="9"/>
      <c r="F795" s="14">
        <f t="shared" si="48"/>
        <v>8.6666666666666679</v>
      </c>
      <c r="G795" s="47">
        <v>1</v>
      </c>
      <c r="H795" s="91"/>
    </row>
    <row r="796" spans="1:8" s="5" customFormat="1" ht="12" x14ac:dyDescent="0.15">
      <c r="A796" s="6">
        <v>44777</v>
      </c>
      <c r="B796" s="7" t="s">
        <v>9</v>
      </c>
      <c r="C796" s="8" t="s">
        <v>10</v>
      </c>
      <c r="D796" s="8" t="s">
        <v>11</v>
      </c>
      <c r="E796" s="9"/>
      <c r="F796" s="14">
        <f t="shared" si="48"/>
        <v>8.6666666666666679</v>
      </c>
      <c r="G796" s="47"/>
      <c r="H796" s="91"/>
    </row>
    <row r="797" spans="1:8" s="5" customFormat="1" ht="12" x14ac:dyDescent="0.15">
      <c r="A797" s="11">
        <v>44778</v>
      </c>
      <c r="B797" s="7" t="s">
        <v>8</v>
      </c>
      <c r="C797" s="8"/>
      <c r="D797" s="8"/>
      <c r="E797" s="9"/>
      <c r="F797" s="14" t="str">
        <f t="shared" si="48"/>
        <v/>
      </c>
      <c r="G797" s="47">
        <v>1</v>
      </c>
      <c r="H797" s="91"/>
    </row>
    <row r="798" spans="1:8" s="5" customFormat="1" ht="12" x14ac:dyDescent="0.15">
      <c r="A798" s="6">
        <v>44779</v>
      </c>
      <c r="B798" s="7" t="s">
        <v>15</v>
      </c>
      <c r="C798" s="8" t="s">
        <v>10</v>
      </c>
      <c r="D798" s="8" t="s">
        <v>11</v>
      </c>
      <c r="E798" s="9"/>
      <c r="F798" s="14">
        <f t="shared" si="48"/>
        <v>8.6666666666666679</v>
      </c>
      <c r="G798" s="47">
        <v>3.5</v>
      </c>
      <c r="H798" s="91"/>
    </row>
    <row r="799" spans="1:8" s="5" customFormat="1" ht="12" x14ac:dyDescent="0.15">
      <c r="A799" s="43">
        <v>44780</v>
      </c>
      <c r="B799" s="35" t="s">
        <v>15</v>
      </c>
      <c r="C799" s="28" t="s">
        <v>10</v>
      </c>
      <c r="D799" s="8" t="s">
        <v>11</v>
      </c>
      <c r="E799" s="9"/>
      <c r="F799" s="14">
        <f t="shared" si="48"/>
        <v>8.6666666666666679</v>
      </c>
      <c r="G799" s="48">
        <v>1</v>
      </c>
      <c r="H799" s="92"/>
    </row>
    <row r="800" spans="1:8" s="5" customFormat="1" ht="12" x14ac:dyDescent="0.15">
      <c r="A800" s="30">
        <v>44781</v>
      </c>
      <c r="B800" s="31" t="s">
        <v>9</v>
      </c>
      <c r="C800" s="32" t="s">
        <v>10</v>
      </c>
      <c r="D800" s="8" t="s">
        <v>11</v>
      </c>
      <c r="E800" s="9"/>
      <c r="F800" s="14">
        <f t="shared" si="48"/>
        <v>8.6666666666666679</v>
      </c>
      <c r="G800" s="33"/>
      <c r="H800" s="90">
        <f t="shared" ref="H800" si="50">SUM(F800:G806)</f>
        <v>43.333333333333343</v>
      </c>
    </row>
    <row r="801" spans="1:8" s="5" customFormat="1" ht="12" x14ac:dyDescent="0.15">
      <c r="A801" s="11">
        <v>44782</v>
      </c>
      <c r="B801" s="7" t="s">
        <v>9</v>
      </c>
      <c r="C801" s="8" t="s">
        <v>10</v>
      </c>
      <c r="D801" s="8" t="s">
        <v>11</v>
      </c>
      <c r="E801" s="9"/>
      <c r="F801" s="14">
        <f t="shared" si="48"/>
        <v>8.6666666666666679</v>
      </c>
      <c r="H801" s="91"/>
    </row>
    <row r="802" spans="1:8" s="5" customFormat="1" ht="12" x14ac:dyDescent="0.15">
      <c r="A802" s="6">
        <v>44783</v>
      </c>
      <c r="B802" s="7" t="s">
        <v>12</v>
      </c>
      <c r="C802" s="8" t="s">
        <v>10</v>
      </c>
      <c r="D802" s="8" t="s">
        <v>11</v>
      </c>
      <c r="E802" s="9"/>
      <c r="F802" s="14">
        <f t="shared" si="48"/>
        <v>8.6666666666666679</v>
      </c>
      <c r="H802" s="91"/>
    </row>
    <row r="803" spans="1:8" s="5" customFormat="1" ht="12" x14ac:dyDescent="0.15">
      <c r="A803" s="11">
        <v>44784</v>
      </c>
      <c r="B803" s="7" t="s">
        <v>12</v>
      </c>
      <c r="C803" s="8" t="s">
        <v>10</v>
      </c>
      <c r="D803" s="8" t="s">
        <v>11</v>
      </c>
      <c r="E803" s="9"/>
      <c r="F803" s="14">
        <f t="shared" si="48"/>
        <v>8.6666666666666679</v>
      </c>
      <c r="H803" s="91"/>
    </row>
    <row r="804" spans="1:8" s="5" customFormat="1" x14ac:dyDescent="0.25">
      <c r="A804" s="6">
        <v>44785</v>
      </c>
      <c r="B804" s="7" t="s">
        <v>9</v>
      </c>
      <c r="C804" s="8" t="s">
        <v>10</v>
      </c>
      <c r="D804" s="8" t="s">
        <v>11</v>
      </c>
      <c r="E804" s="9"/>
      <c r="F804" s="14">
        <f t="shared" si="48"/>
        <v>8.6666666666666679</v>
      </c>
      <c r="G804"/>
      <c r="H804" s="91"/>
    </row>
    <row r="805" spans="1:8" s="5" customFormat="1" ht="12" x14ac:dyDescent="0.15">
      <c r="A805" s="11">
        <v>44786</v>
      </c>
      <c r="B805" s="7" t="s">
        <v>8</v>
      </c>
      <c r="C805" s="8"/>
      <c r="D805" s="8"/>
      <c r="E805" s="9"/>
      <c r="F805" s="14" t="str">
        <f t="shared" si="48"/>
        <v/>
      </c>
      <c r="H805" s="91"/>
    </row>
    <row r="806" spans="1:8" s="5" customFormat="1" ht="12" x14ac:dyDescent="0.15">
      <c r="A806" s="34">
        <v>44787</v>
      </c>
      <c r="B806" s="35" t="s">
        <v>8</v>
      </c>
      <c r="C806" s="28"/>
      <c r="D806" s="8"/>
      <c r="E806" s="9"/>
      <c r="F806" s="14" t="str">
        <f t="shared" si="48"/>
        <v/>
      </c>
      <c r="G806" s="29"/>
      <c r="H806" s="92"/>
    </row>
    <row r="807" spans="1:8" s="5" customFormat="1" ht="12" x14ac:dyDescent="0.15">
      <c r="A807" s="36">
        <v>44788</v>
      </c>
      <c r="B807" s="31" t="s">
        <v>14</v>
      </c>
      <c r="C807" s="32"/>
      <c r="D807" s="8"/>
      <c r="E807" s="9"/>
      <c r="F807" s="14" t="str">
        <f t="shared" si="48"/>
        <v/>
      </c>
      <c r="G807" s="33"/>
      <c r="H807" s="90">
        <f t="shared" ref="H807" si="51">SUM(F807:G813)</f>
        <v>52.000000000000014</v>
      </c>
    </row>
    <row r="808" spans="1:8" s="5" customFormat="1" ht="12" x14ac:dyDescent="0.15">
      <c r="A808" s="6">
        <v>44789</v>
      </c>
      <c r="B808" s="7" t="s">
        <v>9</v>
      </c>
      <c r="C808" s="8" t="s">
        <v>10</v>
      </c>
      <c r="D808" s="8" t="s">
        <v>11</v>
      </c>
      <c r="E808" s="9"/>
      <c r="F808" s="14">
        <f t="shared" si="48"/>
        <v>8.6666666666666679</v>
      </c>
      <c r="H808" s="91"/>
    </row>
    <row r="809" spans="1:8" s="5" customFormat="1" ht="12" x14ac:dyDescent="0.15">
      <c r="A809" s="11">
        <v>44790</v>
      </c>
      <c r="B809" s="7" t="s">
        <v>9</v>
      </c>
      <c r="C809" s="8" t="s">
        <v>10</v>
      </c>
      <c r="D809" s="8" t="s">
        <v>11</v>
      </c>
      <c r="E809" s="9"/>
      <c r="F809" s="14">
        <f t="shared" si="48"/>
        <v>8.6666666666666679</v>
      </c>
      <c r="H809" s="91"/>
    </row>
    <row r="810" spans="1:8" s="5" customFormat="1" ht="12" x14ac:dyDescent="0.15">
      <c r="A810" s="6">
        <v>44791</v>
      </c>
      <c r="B810" s="7" t="s">
        <v>9</v>
      </c>
      <c r="C810" s="8" t="s">
        <v>10</v>
      </c>
      <c r="D810" s="8" t="s">
        <v>11</v>
      </c>
      <c r="E810" s="9"/>
      <c r="F810" s="14">
        <f t="shared" si="48"/>
        <v>8.6666666666666679</v>
      </c>
      <c r="H810" s="91"/>
    </row>
    <row r="811" spans="1:8" s="5" customFormat="1" ht="12" x14ac:dyDescent="0.15">
      <c r="A811" s="11">
        <v>44792</v>
      </c>
      <c r="B811" s="7" t="s">
        <v>9</v>
      </c>
      <c r="C811" s="8" t="s">
        <v>10</v>
      </c>
      <c r="D811" s="8" t="s">
        <v>11</v>
      </c>
      <c r="E811" s="9"/>
      <c r="F811" s="14">
        <f t="shared" si="48"/>
        <v>8.6666666666666679</v>
      </c>
      <c r="H811" s="91"/>
    </row>
    <row r="812" spans="1:8" s="5" customFormat="1" ht="12" x14ac:dyDescent="0.15">
      <c r="A812" s="6">
        <v>44793</v>
      </c>
      <c r="B812" s="7" t="s">
        <v>15</v>
      </c>
      <c r="C812" s="8" t="s">
        <v>10</v>
      </c>
      <c r="D812" s="8" t="s">
        <v>11</v>
      </c>
      <c r="E812" s="9"/>
      <c r="F812" s="14">
        <f t="shared" si="48"/>
        <v>8.6666666666666679</v>
      </c>
      <c r="H812" s="91"/>
    </row>
    <row r="813" spans="1:8" s="5" customFormat="1" ht="12" x14ac:dyDescent="0.15">
      <c r="A813" s="43">
        <v>44794</v>
      </c>
      <c r="B813" s="35" t="s">
        <v>15</v>
      </c>
      <c r="C813" s="28" t="s">
        <v>10</v>
      </c>
      <c r="D813" s="8" t="s">
        <v>11</v>
      </c>
      <c r="E813" s="9"/>
      <c r="F813" s="14">
        <f t="shared" si="48"/>
        <v>8.6666666666666679</v>
      </c>
      <c r="G813" s="29"/>
      <c r="H813" s="92"/>
    </row>
    <row r="814" spans="1:8" s="5" customFormat="1" ht="12" x14ac:dyDescent="0.15">
      <c r="A814" s="30">
        <v>44795</v>
      </c>
      <c r="B814" s="31" t="s">
        <v>9</v>
      </c>
      <c r="C814" s="32" t="s">
        <v>10</v>
      </c>
      <c r="D814" s="8" t="s">
        <v>11</v>
      </c>
      <c r="E814" s="9"/>
      <c r="F814" s="14">
        <f t="shared" si="48"/>
        <v>8.6666666666666679</v>
      </c>
      <c r="G814" s="33"/>
      <c r="H814" s="90">
        <f t="shared" ref="H814" si="52">SUM(F814:G820)</f>
        <v>34.666666666666671</v>
      </c>
    </row>
    <row r="815" spans="1:8" s="5" customFormat="1" ht="12" x14ac:dyDescent="0.15">
      <c r="A815" s="11">
        <v>44796</v>
      </c>
      <c r="B815" s="7" t="s">
        <v>9</v>
      </c>
      <c r="C815" s="8" t="s">
        <v>10</v>
      </c>
      <c r="D815" s="8" t="s">
        <v>11</v>
      </c>
      <c r="E815" s="9"/>
      <c r="F815" s="14">
        <f t="shared" si="48"/>
        <v>8.6666666666666679</v>
      </c>
      <c r="H815" s="91"/>
    </row>
    <row r="816" spans="1:8" s="5" customFormat="1" ht="12" x14ac:dyDescent="0.15">
      <c r="A816" s="6">
        <v>44797</v>
      </c>
      <c r="B816" s="7" t="s">
        <v>9</v>
      </c>
      <c r="C816" s="8" t="s">
        <v>10</v>
      </c>
      <c r="D816" s="8" t="s">
        <v>11</v>
      </c>
      <c r="E816" s="9"/>
      <c r="F816" s="14">
        <f t="shared" si="48"/>
        <v>8.6666666666666679</v>
      </c>
      <c r="H816" s="91"/>
    </row>
    <row r="817" spans="1:8" s="5" customFormat="1" ht="12" x14ac:dyDescent="0.15">
      <c r="A817" s="11">
        <v>44798</v>
      </c>
      <c r="B817" s="7" t="s">
        <v>12</v>
      </c>
      <c r="C817" s="8" t="s">
        <v>10</v>
      </c>
      <c r="D817" s="8" t="s">
        <v>11</v>
      </c>
      <c r="E817" s="9"/>
      <c r="F817" s="14">
        <f t="shared" si="48"/>
        <v>8.6666666666666679</v>
      </c>
      <c r="H817" s="91"/>
    </row>
    <row r="818" spans="1:8" s="5" customFormat="1" ht="12" x14ac:dyDescent="0.15">
      <c r="A818" s="6">
        <v>44799</v>
      </c>
      <c r="B818" s="7" t="s">
        <v>8</v>
      </c>
      <c r="C818" s="8"/>
      <c r="D818" s="8"/>
      <c r="E818" s="9"/>
      <c r="F818" s="14" t="str">
        <f t="shared" si="48"/>
        <v/>
      </c>
      <c r="H818" s="91"/>
    </row>
    <row r="819" spans="1:8" s="5" customFormat="1" ht="12" x14ac:dyDescent="0.15">
      <c r="A819" s="11">
        <v>44800</v>
      </c>
      <c r="B819" s="7" t="s">
        <v>8</v>
      </c>
      <c r="C819" s="8"/>
      <c r="D819" s="8"/>
      <c r="E819" s="9"/>
      <c r="F819" s="14" t="str">
        <f t="shared" si="48"/>
        <v/>
      </c>
      <c r="H819" s="91"/>
    </row>
    <row r="820" spans="1:8" s="5" customFormat="1" ht="12" x14ac:dyDescent="0.15">
      <c r="A820" s="34">
        <v>44801</v>
      </c>
      <c r="B820" s="35" t="s">
        <v>8</v>
      </c>
      <c r="C820" s="28"/>
      <c r="D820" s="8"/>
      <c r="E820" s="9"/>
      <c r="F820" s="14" t="str">
        <f t="shared" si="48"/>
        <v/>
      </c>
      <c r="G820" s="29"/>
      <c r="H820" s="92"/>
    </row>
    <row r="821" spans="1:8" s="5" customFormat="1" ht="12" x14ac:dyDescent="0.15">
      <c r="A821" s="36">
        <v>44802</v>
      </c>
      <c r="B821" s="31" t="s">
        <v>14</v>
      </c>
      <c r="C821" s="32"/>
      <c r="D821" s="8"/>
      <c r="E821" s="9"/>
      <c r="F821" s="14" t="str">
        <f t="shared" si="48"/>
        <v/>
      </c>
      <c r="G821" s="33"/>
      <c r="H821" s="90">
        <f t="shared" ref="H821" si="53">SUM(F821:G827)</f>
        <v>34.666666666666671</v>
      </c>
    </row>
    <row r="822" spans="1:8" s="5" customFormat="1" ht="12" x14ac:dyDescent="0.15">
      <c r="A822" s="6">
        <v>44803</v>
      </c>
      <c r="B822" s="7" t="s">
        <v>9</v>
      </c>
      <c r="C822" s="8" t="s">
        <v>10</v>
      </c>
      <c r="D822" s="8" t="s">
        <v>11</v>
      </c>
      <c r="E822" s="9"/>
      <c r="F822" s="14">
        <f t="shared" si="48"/>
        <v>8.6666666666666679</v>
      </c>
      <c r="H822" s="91"/>
    </row>
    <row r="823" spans="1:8" s="5" customFormat="1" ht="12" x14ac:dyDescent="0.15">
      <c r="A823" s="11">
        <v>44804</v>
      </c>
      <c r="B823" s="7" t="s">
        <v>12</v>
      </c>
      <c r="C823" s="8" t="s">
        <v>10</v>
      </c>
      <c r="D823" s="8" t="s">
        <v>11</v>
      </c>
      <c r="E823" s="9"/>
      <c r="F823" s="14">
        <f t="shared" si="48"/>
        <v>8.6666666666666679</v>
      </c>
      <c r="H823" s="91"/>
    </row>
    <row r="824" spans="1:8" s="5" customFormat="1" ht="12" x14ac:dyDescent="0.15">
      <c r="A824" s="6">
        <v>44805</v>
      </c>
      <c r="B824" s="7" t="s">
        <v>12</v>
      </c>
      <c r="C824" s="8" t="s">
        <v>10</v>
      </c>
      <c r="D824" s="8" t="s">
        <v>11</v>
      </c>
      <c r="E824" s="9"/>
      <c r="F824" s="14">
        <f t="shared" si="48"/>
        <v>8.6666666666666679</v>
      </c>
      <c r="H824" s="91"/>
    </row>
    <row r="825" spans="1:8" s="5" customFormat="1" ht="12" x14ac:dyDescent="0.15">
      <c r="A825" s="11">
        <v>44806</v>
      </c>
      <c r="B825" s="7" t="s">
        <v>9</v>
      </c>
      <c r="C825" s="8" t="s">
        <v>10</v>
      </c>
      <c r="D825" s="8" t="s">
        <v>11</v>
      </c>
      <c r="E825" s="9"/>
      <c r="F825" s="14">
        <f t="shared" si="48"/>
        <v>8.6666666666666679</v>
      </c>
      <c r="H825" s="91"/>
    </row>
    <row r="826" spans="1:8" s="5" customFormat="1" ht="12" x14ac:dyDescent="0.15">
      <c r="A826" s="6">
        <v>44807</v>
      </c>
      <c r="B826" s="7" t="s">
        <v>8</v>
      </c>
      <c r="C826" s="8"/>
      <c r="D826" s="8"/>
      <c r="E826" s="9"/>
      <c r="F826" s="14" t="str">
        <f t="shared" si="48"/>
        <v/>
      </c>
      <c r="H826" s="91"/>
    </row>
    <row r="827" spans="1:8" s="5" customFormat="1" ht="12" x14ac:dyDescent="0.15">
      <c r="A827" s="43">
        <v>44808</v>
      </c>
      <c r="B827" s="35" t="s">
        <v>8</v>
      </c>
      <c r="C827" s="28"/>
      <c r="D827" s="8"/>
      <c r="E827" s="9"/>
      <c r="F827" s="14" t="str">
        <f t="shared" si="48"/>
        <v/>
      </c>
      <c r="G827" s="29"/>
      <c r="H827" s="92"/>
    </row>
    <row r="828" spans="1:8" s="5" customFormat="1" ht="12" x14ac:dyDescent="0.15">
      <c r="A828" s="30">
        <v>44809</v>
      </c>
      <c r="B828" s="31" t="s">
        <v>8</v>
      </c>
      <c r="C828" s="32"/>
      <c r="D828" s="8"/>
      <c r="E828" s="9"/>
      <c r="F828" s="14" t="str">
        <f t="shared" si="48"/>
        <v/>
      </c>
      <c r="G828" s="33"/>
      <c r="H828" s="90">
        <f t="shared" ref="H828" si="54">SUM(F828:G834)</f>
        <v>34.666666666666671</v>
      </c>
    </row>
    <row r="829" spans="1:8" s="5" customFormat="1" ht="12" x14ac:dyDescent="0.15">
      <c r="A829" s="11">
        <v>44810</v>
      </c>
      <c r="B829" s="7" t="s">
        <v>12</v>
      </c>
      <c r="C829" s="8" t="s">
        <v>10</v>
      </c>
      <c r="D829" s="8" t="s">
        <v>11</v>
      </c>
      <c r="E829" s="9"/>
      <c r="F829" s="14">
        <f t="shared" si="48"/>
        <v>8.6666666666666679</v>
      </c>
      <c r="H829" s="91"/>
    </row>
    <row r="830" spans="1:8" s="5" customFormat="1" ht="12" x14ac:dyDescent="0.15">
      <c r="A830" s="6">
        <v>44811</v>
      </c>
      <c r="B830" s="7" t="s">
        <v>12</v>
      </c>
      <c r="C830" s="8" t="s">
        <v>10</v>
      </c>
      <c r="D830" s="8" t="s">
        <v>11</v>
      </c>
      <c r="E830" s="9"/>
      <c r="F830" s="14">
        <f t="shared" si="48"/>
        <v>8.6666666666666679</v>
      </c>
      <c r="H830" s="91"/>
    </row>
    <row r="831" spans="1:8" s="5" customFormat="1" ht="12" x14ac:dyDescent="0.15">
      <c r="A831" s="11">
        <v>44812</v>
      </c>
      <c r="B831" s="7" t="s">
        <v>9</v>
      </c>
      <c r="C831" s="8" t="s">
        <v>10</v>
      </c>
      <c r="D831" s="8" t="s">
        <v>11</v>
      </c>
      <c r="E831" s="9"/>
      <c r="F831" s="14">
        <f t="shared" si="48"/>
        <v>8.6666666666666679</v>
      </c>
      <c r="H831" s="91"/>
    </row>
    <row r="832" spans="1:8" s="5" customFormat="1" ht="12" x14ac:dyDescent="0.15">
      <c r="A832" s="6">
        <v>44813</v>
      </c>
      <c r="B832" s="7" t="s">
        <v>9</v>
      </c>
      <c r="C832" s="8" t="s">
        <v>10</v>
      </c>
      <c r="D832" s="8" t="s">
        <v>11</v>
      </c>
      <c r="E832" s="9"/>
      <c r="F832" s="14">
        <f t="shared" si="48"/>
        <v>8.6666666666666679</v>
      </c>
      <c r="H832" s="91"/>
    </row>
    <row r="833" spans="1:8" s="5" customFormat="1" ht="12" x14ac:dyDescent="0.15">
      <c r="A833" s="11">
        <v>44814</v>
      </c>
      <c r="B833" s="7" t="s">
        <v>8</v>
      </c>
      <c r="C833" s="8"/>
      <c r="D833" s="8"/>
      <c r="E833" s="9"/>
      <c r="F833" s="14" t="str">
        <f t="shared" si="48"/>
        <v/>
      </c>
      <c r="H833" s="91"/>
    </row>
    <row r="834" spans="1:8" s="5" customFormat="1" ht="12" x14ac:dyDescent="0.15">
      <c r="A834" s="34">
        <v>44815</v>
      </c>
      <c r="B834" s="35" t="s">
        <v>8</v>
      </c>
      <c r="C834" s="28"/>
      <c r="D834" s="8"/>
      <c r="E834" s="9"/>
      <c r="F834" s="14" t="str">
        <f t="shared" si="48"/>
        <v/>
      </c>
      <c r="G834" s="29"/>
      <c r="H834" s="92"/>
    </row>
    <row r="835" spans="1:8" s="5" customFormat="1" ht="12" x14ac:dyDescent="0.15">
      <c r="A835" s="36">
        <v>44816</v>
      </c>
      <c r="B835" s="31" t="s">
        <v>9</v>
      </c>
      <c r="C835" s="32" t="s">
        <v>10</v>
      </c>
      <c r="D835" s="8" t="s">
        <v>11</v>
      </c>
      <c r="E835" s="9"/>
      <c r="F835" s="14">
        <f t="shared" si="48"/>
        <v>8.6666666666666679</v>
      </c>
      <c r="G835" s="33"/>
      <c r="H835" s="90">
        <f t="shared" ref="H835" si="55">SUM(F835:G841)</f>
        <v>60.666666666666686</v>
      </c>
    </row>
    <row r="836" spans="1:8" s="5" customFormat="1" ht="12" x14ac:dyDescent="0.15">
      <c r="A836" s="6">
        <v>44817</v>
      </c>
      <c r="B836" s="7" t="s">
        <v>12</v>
      </c>
      <c r="C836" s="8" t="s">
        <v>10</v>
      </c>
      <c r="D836" s="8" t="s">
        <v>11</v>
      </c>
      <c r="E836" s="9"/>
      <c r="F836" s="14">
        <f t="shared" si="48"/>
        <v>8.6666666666666679</v>
      </c>
      <c r="H836" s="91"/>
    </row>
    <row r="837" spans="1:8" s="5" customFormat="1" ht="12" x14ac:dyDescent="0.15">
      <c r="A837" s="11">
        <v>44818</v>
      </c>
      <c r="B837" s="7" t="s">
        <v>12</v>
      </c>
      <c r="C837" s="8" t="s">
        <v>10</v>
      </c>
      <c r="D837" s="8" t="s">
        <v>11</v>
      </c>
      <c r="E837" s="9"/>
      <c r="F837" s="14">
        <f t="shared" ref="F837:F900" si="56">IF(C837="", "", IF(D837="", "", (D837-C837)*24 - E837))</f>
        <v>8.6666666666666679</v>
      </c>
      <c r="H837" s="91"/>
    </row>
    <row r="838" spans="1:8" s="5" customFormat="1" ht="12" x14ac:dyDescent="0.15">
      <c r="A838" s="6">
        <v>44819</v>
      </c>
      <c r="B838" s="7" t="s">
        <v>9</v>
      </c>
      <c r="C838" s="8" t="s">
        <v>10</v>
      </c>
      <c r="D838" s="8" t="s">
        <v>11</v>
      </c>
      <c r="E838" s="9"/>
      <c r="F838" s="14">
        <f t="shared" si="56"/>
        <v>8.6666666666666679</v>
      </c>
      <c r="H838" s="91"/>
    </row>
    <row r="839" spans="1:8" s="5" customFormat="1" ht="12" x14ac:dyDescent="0.15">
      <c r="A839" s="11">
        <v>44820</v>
      </c>
      <c r="B839" s="7" t="s">
        <v>9</v>
      </c>
      <c r="C839" s="8" t="s">
        <v>10</v>
      </c>
      <c r="D839" s="8" t="s">
        <v>11</v>
      </c>
      <c r="E839" s="9"/>
      <c r="F839" s="14">
        <f t="shared" si="56"/>
        <v>8.6666666666666679</v>
      </c>
      <c r="H839" s="91"/>
    </row>
    <row r="840" spans="1:8" s="5" customFormat="1" ht="12" x14ac:dyDescent="0.15">
      <c r="A840" s="6">
        <v>44821</v>
      </c>
      <c r="B840" s="7" t="s">
        <v>15</v>
      </c>
      <c r="C840" s="8" t="s">
        <v>10</v>
      </c>
      <c r="D840" s="8" t="s">
        <v>11</v>
      </c>
      <c r="E840" s="9"/>
      <c r="F840" s="14">
        <f t="shared" si="56"/>
        <v>8.6666666666666679</v>
      </c>
      <c r="H840" s="91"/>
    </row>
    <row r="841" spans="1:8" s="5" customFormat="1" ht="12" x14ac:dyDescent="0.15">
      <c r="A841" s="43">
        <v>44822</v>
      </c>
      <c r="B841" s="35" t="s">
        <v>15</v>
      </c>
      <c r="C841" s="28" t="s">
        <v>10</v>
      </c>
      <c r="D841" s="8" t="s">
        <v>11</v>
      </c>
      <c r="E841" s="9"/>
      <c r="F841" s="14">
        <f t="shared" si="56"/>
        <v>8.6666666666666679</v>
      </c>
      <c r="G841" s="29"/>
      <c r="H841" s="92"/>
    </row>
    <row r="842" spans="1:8" s="5" customFormat="1" ht="12" x14ac:dyDescent="0.15">
      <c r="A842" s="30">
        <v>44823</v>
      </c>
      <c r="B842" s="31" t="s">
        <v>9</v>
      </c>
      <c r="C842" s="32" t="s">
        <v>10</v>
      </c>
      <c r="D842" s="8" t="s">
        <v>11</v>
      </c>
      <c r="E842" s="9"/>
      <c r="F842" s="14">
        <f t="shared" si="56"/>
        <v>8.6666666666666679</v>
      </c>
      <c r="G842" s="33"/>
      <c r="H842" s="90">
        <f t="shared" ref="H842" si="57">SUM(F842:G848)</f>
        <v>43.333333333333343</v>
      </c>
    </row>
    <row r="843" spans="1:8" s="5" customFormat="1" ht="12" x14ac:dyDescent="0.15">
      <c r="A843" s="11">
        <v>44824</v>
      </c>
      <c r="B843" s="7" t="s">
        <v>9</v>
      </c>
      <c r="C843" s="8" t="s">
        <v>10</v>
      </c>
      <c r="D843" s="8" t="s">
        <v>11</v>
      </c>
      <c r="E843" s="9"/>
      <c r="F843" s="14">
        <f t="shared" si="56"/>
        <v>8.6666666666666679</v>
      </c>
      <c r="H843" s="91"/>
    </row>
    <row r="844" spans="1:8" s="5" customFormat="1" ht="12" x14ac:dyDescent="0.15">
      <c r="A844" s="6">
        <v>44825</v>
      </c>
      <c r="B844" s="7" t="s">
        <v>9</v>
      </c>
      <c r="C844" s="8" t="s">
        <v>10</v>
      </c>
      <c r="D844" s="8" t="s">
        <v>11</v>
      </c>
      <c r="E844" s="9"/>
      <c r="F844" s="14">
        <f t="shared" si="56"/>
        <v>8.6666666666666679</v>
      </c>
      <c r="H844" s="91"/>
    </row>
    <row r="845" spans="1:8" s="5" customFormat="1" ht="12" x14ac:dyDescent="0.15">
      <c r="A845" s="11">
        <v>44826</v>
      </c>
      <c r="B845" s="7" t="s">
        <v>9</v>
      </c>
      <c r="C845" s="8" t="s">
        <v>10</v>
      </c>
      <c r="D845" s="8" t="s">
        <v>11</v>
      </c>
      <c r="E845" s="9"/>
      <c r="F845" s="14">
        <f t="shared" si="56"/>
        <v>8.6666666666666679</v>
      </c>
      <c r="H845" s="91"/>
    </row>
    <row r="846" spans="1:8" s="5" customFormat="1" ht="12" x14ac:dyDescent="0.15">
      <c r="A846" s="6">
        <v>44827</v>
      </c>
      <c r="B846" s="7" t="s">
        <v>9</v>
      </c>
      <c r="C846" s="8" t="s">
        <v>10</v>
      </c>
      <c r="D846" s="8" t="s">
        <v>11</v>
      </c>
      <c r="E846" s="9"/>
      <c r="F846" s="14">
        <f t="shared" si="56"/>
        <v>8.6666666666666679</v>
      </c>
      <c r="H846" s="91"/>
    </row>
    <row r="847" spans="1:8" s="5" customFormat="1" ht="12" x14ac:dyDescent="0.15">
      <c r="A847" s="11">
        <v>44828</v>
      </c>
      <c r="B847" s="7" t="s">
        <v>8</v>
      </c>
      <c r="C847" s="8"/>
      <c r="D847" s="8"/>
      <c r="E847" s="9"/>
      <c r="F847" s="14" t="str">
        <f t="shared" si="56"/>
        <v/>
      </c>
      <c r="H847" s="91"/>
    </row>
    <row r="848" spans="1:8" s="5" customFormat="1" ht="12" x14ac:dyDescent="0.15">
      <c r="A848" s="34">
        <v>44829</v>
      </c>
      <c r="B848" s="35" t="s">
        <v>8</v>
      </c>
      <c r="C848" s="28"/>
      <c r="D848" s="8"/>
      <c r="E848" s="9"/>
      <c r="F848" s="14" t="str">
        <f t="shared" si="56"/>
        <v/>
      </c>
      <c r="G848" s="29"/>
      <c r="H848" s="92"/>
    </row>
    <row r="849" spans="1:8" s="5" customFormat="1" ht="12" x14ac:dyDescent="0.15">
      <c r="A849" s="36">
        <v>44830</v>
      </c>
      <c r="B849" s="31" t="s">
        <v>14</v>
      </c>
      <c r="C849" s="32"/>
      <c r="D849" s="8"/>
      <c r="E849" s="9"/>
      <c r="F849" s="14" t="str">
        <f t="shared" si="56"/>
        <v/>
      </c>
      <c r="G849" s="33"/>
      <c r="H849" s="90">
        <f t="shared" ref="H849" si="58">SUM(F849:G855)</f>
        <v>34.666666666666671</v>
      </c>
    </row>
    <row r="850" spans="1:8" s="5" customFormat="1" ht="12" x14ac:dyDescent="0.15">
      <c r="A850" s="6">
        <v>44831</v>
      </c>
      <c r="B850" s="7" t="s">
        <v>12</v>
      </c>
      <c r="C850" s="8" t="s">
        <v>10</v>
      </c>
      <c r="D850" s="8" t="s">
        <v>11</v>
      </c>
      <c r="E850" s="9"/>
      <c r="F850" s="14">
        <f t="shared" si="56"/>
        <v>8.6666666666666679</v>
      </c>
      <c r="H850" s="91"/>
    </row>
    <row r="851" spans="1:8" s="5" customFormat="1" ht="12" x14ac:dyDescent="0.15">
      <c r="A851" s="11">
        <v>44832</v>
      </c>
      <c r="B851" s="7" t="s">
        <v>12</v>
      </c>
      <c r="C851" s="8" t="s">
        <v>10</v>
      </c>
      <c r="D851" s="8" t="s">
        <v>11</v>
      </c>
      <c r="E851" s="9"/>
      <c r="F851" s="14">
        <f t="shared" si="56"/>
        <v>8.6666666666666679</v>
      </c>
      <c r="H851" s="91"/>
    </row>
    <row r="852" spans="1:8" s="5" customFormat="1" ht="12" x14ac:dyDescent="0.15">
      <c r="A852" s="6">
        <v>44833</v>
      </c>
      <c r="B852" s="7" t="s">
        <v>9</v>
      </c>
      <c r="C852" s="8" t="s">
        <v>10</v>
      </c>
      <c r="D852" s="8" t="s">
        <v>11</v>
      </c>
      <c r="E852" s="9"/>
      <c r="F852" s="14">
        <f t="shared" si="56"/>
        <v>8.6666666666666679</v>
      </c>
      <c r="H852" s="91"/>
    </row>
    <row r="853" spans="1:8" s="5" customFormat="1" ht="12" x14ac:dyDescent="0.15">
      <c r="A853" s="11">
        <v>44834</v>
      </c>
      <c r="B853" s="7" t="s">
        <v>9</v>
      </c>
      <c r="C853" s="8" t="s">
        <v>10</v>
      </c>
      <c r="D853" s="8" t="s">
        <v>11</v>
      </c>
      <c r="E853" s="9"/>
      <c r="F853" s="14">
        <f t="shared" si="56"/>
        <v>8.6666666666666679</v>
      </c>
      <c r="H853" s="91"/>
    </row>
    <row r="854" spans="1:8" s="5" customFormat="1" ht="12" x14ac:dyDescent="0.15">
      <c r="A854" s="6">
        <v>44835</v>
      </c>
      <c r="B854" s="7" t="s">
        <v>8</v>
      </c>
      <c r="C854" s="8"/>
      <c r="D854" s="8"/>
      <c r="E854" s="9"/>
      <c r="F854" s="14" t="str">
        <f t="shared" si="56"/>
        <v/>
      </c>
      <c r="H854" s="91"/>
    </row>
    <row r="855" spans="1:8" s="5" customFormat="1" ht="12" x14ac:dyDescent="0.15">
      <c r="A855" s="43">
        <v>44836</v>
      </c>
      <c r="B855" s="35" t="s">
        <v>8</v>
      </c>
      <c r="C855" s="28"/>
      <c r="D855" s="8"/>
      <c r="E855" s="9"/>
      <c r="F855" s="14" t="str">
        <f t="shared" si="56"/>
        <v/>
      </c>
      <c r="G855" s="29"/>
      <c r="H855" s="92"/>
    </row>
    <row r="856" spans="1:8" s="5" customFormat="1" ht="12" x14ac:dyDescent="0.15">
      <c r="A856" s="30">
        <v>44837</v>
      </c>
      <c r="B856" s="31" t="s">
        <v>13</v>
      </c>
      <c r="C856" s="32"/>
      <c r="D856" s="8"/>
      <c r="E856" s="9"/>
      <c r="F856" s="14" t="str">
        <f t="shared" si="56"/>
        <v/>
      </c>
      <c r="G856" s="33"/>
      <c r="H856" s="90">
        <f t="shared" ref="H856" si="59">SUM(F856:G862)</f>
        <v>26.000000000000004</v>
      </c>
    </row>
    <row r="857" spans="1:8" s="5" customFormat="1" ht="12" x14ac:dyDescent="0.15">
      <c r="A857" s="11">
        <v>44838</v>
      </c>
      <c r="B857" s="7" t="s">
        <v>14</v>
      </c>
      <c r="C857" s="8"/>
      <c r="D857" s="8"/>
      <c r="E857" s="9"/>
      <c r="F857" s="14" t="str">
        <f t="shared" si="56"/>
        <v/>
      </c>
      <c r="H857" s="91"/>
    </row>
    <row r="858" spans="1:8" s="5" customFormat="1" ht="12" x14ac:dyDescent="0.15">
      <c r="A858" s="6">
        <v>44839</v>
      </c>
      <c r="B858" s="7" t="s">
        <v>9</v>
      </c>
      <c r="C858" s="8" t="s">
        <v>10</v>
      </c>
      <c r="D858" s="8" t="s">
        <v>11</v>
      </c>
      <c r="E858" s="9"/>
      <c r="F858" s="14">
        <f t="shared" si="56"/>
        <v>8.6666666666666679</v>
      </c>
      <c r="H858" s="91"/>
    </row>
    <row r="859" spans="1:8" s="5" customFormat="1" ht="12" x14ac:dyDescent="0.15">
      <c r="A859" s="11">
        <v>44840</v>
      </c>
      <c r="B859" s="7" t="s">
        <v>12</v>
      </c>
      <c r="C859" s="8" t="s">
        <v>10</v>
      </c>
      <c r="D859" s="8" t="s">
        <v>11</v>
      </c>
      <c r="E859" s="9"/>
      <c r="F859" s="14">
        <f t="shared" si="56"/>
        <v>8.6666666666666679</v>
      </c>
      <c r="H859" s="91"/>
    </row>
    <row r="860" spans="1:8" s="5" customFormat="1" ht="12" x14ac:dyDescent="0.15">
      <c r="A860" s="6">
        <v>44841</v>
      </c>
      <c r="B860" s="7" t="s">
        <v>9</v>
      </c>
      <c r="C860" s="8" t="s">
        <v>10</v>
      </c>
      <c r="D860" s="8" t="s">
        <v>11</v>
      </c>
      <c r="E860" s="9"/>
      <c r="F860" s="14">
        <f t="shared" si="56"/>
        <v>8.6666666666666679</v>
      </c>
      <c r="H860" s="91"/>
    </row>
    <row r="861" spans="1:8" s="5" customFormat="1" ht="12" x14ac:dyDescent="0.15">
      <c r="A861" s="11">
        <v>44842</v>
      </c>
      <c r="B861" s="7" t="s">
        <v>8</v>
      </c>
      <c r="C861" s="8"/>
      <c r="D861" s="8"/>
      <c r="E861" s="9"/>
      <c r="F861" s="14" t="str">
        <f t="shared" si="56"/>
        <v/>
      </c>
      <c r="H861" s="91"/>
    </row>
    <row r="862" spans="1:8" s="5" customFormat="1" ht="12" x14ac:dyDescent="0.15">
      <c r="A862" s="6">
        <v>44843</v>
      </c>
      <c r="B862" s="7" t="s">
        <v>8</v>
      </c>
      <c r="C862" s="8"/>
      <c r="D862" s="8"/>
      <c r="E862" s="9"/>
      <c r="F862" s="14" t="str">
        <f t="shared" si="56"/>
        <v/>
      </c>
      <c r="H862" s="91"/>
    </row>
    <row r="863" spans="1:8" s="5" customFormat="1" ht="12" x14ac:dyDescent="0.15">
      <c r="A863" s="36">
        <v>44844</v>
      </c>
      <c r="B863" s="31" t="s">
        <v>14</v>
      </c>
      <c r="C863" s="32"/>
      <c r="D863" s="8"/>
      <c r="E863" s="9"/>
      <c r="F863" s="14" t="str">
        <f t="shared" si="56"/>
        <v/>
      </c>
      <c r="G863" s="33"/>
      <c r="H863" s="90">
        <f t="shared" ref="H863" si="60">SUM(F863:G869)</f>
        <v>43.333333333333343</v>
      </c>
    </row>
    <row r="864" spans="1:8" s="5" customFormat="1" ht="12" x14ac:dyDescent="0.15">
      <c r="A864" s="6">
        <v>44845</v>
      </c>
      <c r="B864" s="7" t="s">
        <v>8</v>
      </c>
      <c r="C864" s="8"/>
      <c r="D864" s="8"/>
      <c r="E864" s="9"/>
      <c r="F864" s="14" t="str">
        <f t="shared" si="56"/>
        <v/>
      </c>
      <c r="H864" s="91"/>
    </row>
    <row r="865" spans="1:8" s="5" customFormat="1" ht="12" x14ac:dyDescent="0.15">
      <c r="A865" s="11">
        <v>44846</v>
      </c>
      <c r="B865" s="7" t="s">
        <v>12</v>
      </c>
      <c r="C865" s="8" t="s">
        <v>10</v>
      </c>
      <c r="D865" s="8" t="s">
        <v>11</v>
      </c>
      <c r="E865" s="9"/>
      <c r="F865" s="14">
        <f t="shared" si="56"/>
        <v>8.6666666666666679</v>
      </c>
      <c r="H865" s="91"/>
    </row>
    <row r="866" spans="1:8" s="5" customFormat="1" ht="12" x14ac:dyDescent="0.15">
      <c r="A866" s="6">
        <v>44847</v>
      </c>
      <c r="B866" s="7" t="s">
        <v>9</v>
      </c>
      <c r="C866" s="8" t="s">
        <v>10</v>
      </c>
      <c r="D866" s="8" t="s">
        <v>11</v>
      </c>
      <c r="E866" s="9"/>
      <c r="F866" s="14">
        <f t="shared" si="56"/>
        <v>8.6666666666666679</v>
      </c>
      <c r="H866" s="91"/>
    </row>
    <row r="867" spans="1:8" s="5" customFormat="1" ht="12" x14ac:dyDescent="0.15">
      <c r="A867" s="11">
        <v>44848</v>
      </c>
      <c r="B867" s="7" t="s">
        <v>9</v>
      </c>
      <c r="C867" s="8" t="s">
        <v>10</v>
      </c>
      <c r="D867" s="8" t="s">
        <v>11</v>
      </c>
      <c r="E867" s="9"/>
      <c r="F867" s="14">
        <f t="shared" si="56"/>
        <v>8.6666666666666679</v>
      </c>
      <c r="H867" s="91"/>
    </row>
    <row r="868" spans="1:8" s="5" customFormat="1" ht="12" x14ac:dyDescent="0.15">
      <c r="A868" s="6">
        <v>44849</v>
      </c>
      <c r="B868" s="7" t="s">
        <v>15</v>
      </c>
      <c r="C868" s="8" t="s">
        <v>10</v>
      </c>
      <c r="D868" s="8" t="s">
        <v>11</v>
      </c>
      <c r="E868" s="9"/>
      <c r="F868" s="14">
        <f t="shared" si="56"/>
        <v>8.6666666666666679</v>
      </c>
      <c r="H868" s="91"/>
    </row>
    <row r="869" spans="1:8" s="5" customFormat="1" ht="12" x14ac:dyDescent="0.15">
      <c r="A869" s="43">
        <v>44850</v>
      </c>
      <c r="B869" s="35" t="s">
        <v>15</v>
      </c>
      <c r="C869" s="28" t="s">
        <v>10</v>
      </c>
      <c r="D869" s="8" t="s">
        <v>11</v>
      </c>
      <c r="E869" s="9"/>
      <c r="F869" s="14">
        <f t="shared" si="56"/>
        <v>8.6666666666666679</v>
      </c>
      <c r="G869" s="29"/>
      <c r="H869" s="92"/>
    </row>
    <row r="870" spans="1:8" s="5" customFormat="1" ht="12" x14ac:dyDescent="0.15">
      <c r="A870" s="30">
        <v>44851</v>
      </c>
      <c r="B870" s="31" t="s">
        <v>9</v>
      </c>
      <c r="C870" s="32" t="s">
        <v>10</v>
      </c>
      <c r="D870" s="8" t="s">
        <v>11</v>
      </c>
      <c r="E870" s="9"/>
      <c r="F870" s="14">
        <f t="shared" si="56"/>
        <v>8.6666666666666679</v>
      </c>
      <c r="G870" s="33"/>
      <c r="H870" s="90">
        <f t="shared" ref="H870" si="61">SUM(F870:G876)</f>
        <v>65.666666666666686</v>
      </c>
    </row>
    <row r="871" spans="1:8" s="5" customFormat="1" ht="12" x14ac:dyDescent="0.15">
      <c r="A871" s="11">
        <v>44852</v>
      </c>
      <c r="B871" s="7" t="s">
        <v>12</v>
      </c>
      <c r="C871" s="8" t="s">
        <v>10</v>
      </c>
      <c r="D871" s="8" t="s">
        <v>11</v>
      </c>
      <c r="E871" s="9"/>
      <c r="F871" s="14">
        <f t="shared" si="56"/>
        <v>8.6666666666666679</v>
      </c>
      <c r="G871" s="14">
        <v>1</v>
      </c>
      <c r="H871" s="91"/>
    </row>
    <row r="872" spans="1:8" s="5" customFormat="1" ht="12" x14ac:dyDescent="0.15">
      <c r="A872" s="6">
        <v>44853</v>
      </c>
      <c r="B872" s="7" t="s">
        <v>12</v>
      </c>
      <c r="C872" s="8" t="s">
        <v>10</v>
      </c>
      <c r="D872" s="8" t="s">
        <v>11</v>
      </c>
      <c r="E872" s="9"/>
      <c r="F872" s="14">
        <f t="shared" si="56"/>
        <v>8.6666666666666679</v>
      </c>
      <c r="G872" s="14">
        <v>1.5</v>
      </c>
      <c r="H872" s="91"/>
    </row>
    <row r="873" spans="1:8" s="5" customFormat="1" ht="12" x14ac:dyDescent="0.15">
      <c r="A873" s="11">
        <v>44854</v>
      </c>
      <c r="B873" s="7" t="s">
        <v>9</v>
      </c>
      <c r="C873" s="8" t="s">
        <v>10</v>
      </c>
      <c r="D873" s="8" t="s">
        <v>11</v>
      </c>
      <c r="E873" s="9"/>
      <c r="F873" s="14">
        <f t="shared" si="56"/>
        <v>8.6666666666666679</v>
      </c>
      <c r="G873" s="14">
        <v>0.5</v>
      </c>
      <c r="H873" s="91"/>
    </row>
    <row r="874" spans="1:8" s="5" customFormat="1" ht="12" x14ac:dyDescent="0.15">
      <c r="A874" s="6">
        <v>44855</v>
      </c>
      <c r="B874" s="7" t="s">
        <v>9</v>
      </c>
      <c r="C874" s="8" t="s">
        <v>10</v>
      </c>
      <c r="D874" s="8" t="s">
        <v>11</v>
      </c>
      <c r="E874" s="9"/>
      <c r="F874" s="14">
        <f t="shared" si="56"/>
        <v>8.6666666666666679</v>
      </c>
      <c r="G874" s="14">
        <v>1.5</v>
      </c>
      <c r="H874" s="91"/>
    </row>
    <row r="875" spans="1:8" s="5" customFormat="1" ht="12" x14ac:dyDescent="0.15">
      <c r="A875" s="11">
        <v>44856</v>
      </c>
      <c r="B875" s="7" t="s">
        <v>15</v>
      </c>
      <c r="C875" s="8" t="s">
        <v>10</v>
      </c>
      <c r="D875" s="8" t="s">
        <v>11</v>
      </c>
      <c r="E875" s="9"/>
      <c r="F875" s="14">
        <f t="shared" si="56"/>
        <v>8.6666666666666679</v>
      </c>
      <c r="G875" s="14">
        <v>0.5</v>
      </c>
      <c r="H875" s="91"/>
    </row>
    <row r="876" spans="1:8" s="5" customFormat="1" ht="12" x14ac:dyDescent="0.15">
      <c r="A876" s="6">
        <v>44857</v>
      </c>
      <c r="B876" s="7" t="s">
        <v>15</v>
      </c>
      <c r="C876" s="8" t="s">
        <v>10</v>
      </c>
      <c r="D876" s="8" t="s">
        <v>11</v>
      </c>
      <c r="E876" s="9"/>
      <c r="F876" s="14">
        <f t="shared" si="56"/>
        <v>8.6666666666666679</v>
      </c>
      <c r="H876" s="91"/>
    </row>
    <row r="877" spans="1:8" s="5" customFormat="1" ht="12" x14ac:dyDescent="0.15">
      <c r="A877" s="36">
        <v>44858</v>
      </c>
      <c r="B877" s="31" t="s">
        <v>14</v>
      </c>
      <c r="C877" s="32"/>
      <c r="D877" s="8"/>
      <c r="E877" s="9"/>
      <c r="F877" s="14" t="str">
        <f t="shared" si="56"/>
        <v/>
      </c>
      <c r="G877" s="33"/>
      <c r="H877" s="90">
        <f t="shared" ref="H877" si="62">SUM(F877:G883)</f>
        <v>56.000000000000014</v>
      </c>
    </row>
    <row r="878" spans="1:8" s="5" customFormat="1" ht="12" x14ac:dyDescent="0.15">
      <c r="A878" s="6">
        <v>44859</v>
      </c>
      <c r="B878" s="7" t="s">
        <v>12</v>
      </c>
      <c r="C878" s="8" t="s">
        <v>10</v>
      </c>
      <c r="D878" s="8" t="s">
        <v>11</v>
      </c>
      <c r="E878" s="9"/>
      <c r="F878" s="14">
        <f t="shared" si="56"/>
        <v>8.6666666666666679</v>
      </c>
      <c r="H878" s="91"/>
    </row>
    <row r="879" spans="1:8" s="5" customFormat="1" ht="12" x14ac:dyDescent="0.15">
      <c r="A879" s="11">
        <v>44860</v>
      </c>
      <c r="B879" s="7" t="s">
        <v>12</v>
      </c>
      <c r="C879" s="8" t="s">
        <v>10</v>
      </c>
      <c r="D879" s="8" t="s">
        <v>11</v>
      </c>
      <c r="E879" s="9"/>
      <c r="F879" s="14">
        <f t="shared" si="56"/>
        <v>8.6666666666666679</v>
      </c>
      <c r="G879" s="14">
        <v>0.5</v>
      </c>
      <c r="H879" s="91"/>
    </row>
    <row r="880" spans="1:8" s="5" customFormat="1" ht="12" x14ac:dyDescent="0.15">
      <c r="A880" s="6">
        <v>44861</v>
      </c>
      <c r="B880" s="7" t="s">
        <v>9</v>
      </c>
      <c r="C880" s="8" t="s">
        <v>10</v>
      </c>
      <c r="D880" s="8" t="s">
        <v>11</v>
      </c>
      <c r="E880" s="9"/>
      <c r="F880" s="14">
        <f t="shared" si="56"/>
        <v>8.6666666666666679</v>
      </c>
      <c r="G880" s="14">
        <v>1.5</v>
      </c>
      <c r="H880" s="91"/>
    </row>
    <row r="881" spans="1:8" s="5" customFormat="1" ht="12" x14ac:dyDescent="0.15">
      <c r="A881" s="11">
        <v>44862</v>
      </c>
      <c r="B881" s="7" t="s">
        <v>9</v>
      </c>
      <c r="C881" s="8" t="s">
        <v>10</v>
      </c>
      <c r="D881" s="8" t="s">
        <v>11</v>
      </c>
      <c r="E881" s="9"/>
      <c r="F881" s="14">
        <f t="shared" si="56"/>
        <v>8.6666666666666679</v>
      </c>
      <c r="H881" s="91"/>
    </row>
    <row r="882" spans="1:8" s="5" customFormat="1" ht="12" x14ac:dyDescent="0.15">
      <c r="A882" s="6">
        <v>44863</v>
      </c>
      <c r="B882" s="7" t="s">
        <v>15</v>
      </c>
      <c r="C882" s="8" t="s">
        <v>10</v>
      </c>
      <c r="D882" s="8" t="s">
        <v>11</v>
      </c>
      <c r="E882" s="9"/>
      <c r="F882" s="14">
        <f t="shared" si="56"/>
        <v>8.6666666666666679</v>
      </c>
      <c r="G882" s="14">
        <v>0.5</v>
      </c>
      <c r="H882" s="91"/>
    </row>
    <row r="883" spans="1:8" s="5" customFormat="1" ht="12" x14ac:dyDescent="0.15">
      <c r="A883" s="43">
        <v>44864</v>
      </c>
      <c r="B883" s="35" t="s">
        <v>15</v>
      </c>
      <c r="C883" s="28" t="s">
        <v>10</v>
      </c>
      <c r="D883" s="8" t="s">
        <v>11</v>
      </c>
      <c r="E883" s="9"/>
      <c r="F883" s="14">
        <f t="shared" si="56"/>
        <v>8.6666666666666679</v>
      </c>
      <c r="G883" s="49">
        <v>1.5</v>
      </c>
      <c r="H883" s="92"/>
    </row>
    <row r="884" spans="1:8" s="5" customFormat="1" ht="12" x14ac:dyDescent="0.15">
      <c r="A884" s="30">
        <v>44865</v>
      </c>
      <c r="B884" s="31" t="s">
        <v>12</v>
      </c>
      <c r="C884" s="32" t="s">
        <v>10</v>
      </c>
      <c r="D884" s="8" t="s">
        <v>11</v>
      </c>
      <c r="E884" s="9"/>
      <c r="F884" s="14">
        <f t="shared" si="56"/>
        <v>8.6666666666666679</v>
      </c>
      <c r="G884" s="33"/>
      <c r="H884" s="90">
        <f t="shared" ref="H884" si="63">SUM(F884:G890)</f>
        <v>34.666666666666671</v>
      </c>
    </row>
    <row r="885" spans="1:8" s="5" customFormat="1" ht="12" x14ac:dyDescent="0.15">
      <c r="A885" s="11">
        <v>44866</v>
      </c>
      <c r="B885" s="7" t="s">
        <v>12</v>
      </c>
      <c r="C885" s="8" t="s">
        <v>10</v>
      </c>
      <c r="D885" s="8" t="s">
        <v>11</v>
      </c>
      <c r="E885" s="9"/>
      <c r="F885" s="14">
        <f t="shared" si="56"/>
        <v>8.6666666666666679</v>
      </c>
      <c r="H885" s="91"/>
    </row>
    <row r="886" spans="1:8" s="5" customFormat="1" ht="12" x14ac:dyDescent="0.15">
      <c r="A886" s="6">
        <v>44867</v>
      </c>
      <c r="B886" s="7" t="s">
        <v>9</v>
      </c>
      <c r="C886" s="8" t="s">
        <v>10</v>
      </c>
      <c r="D886" s="8" t="s">
        <v>11</v>
      </c>
      <c r="E886" s="9"/>
      <c r="F886" s="14">
        <f t="shared" si="56"/>
        <v>8.6666666666666679</v>
      </c>
      <c r="H886" s="91"/>
    </row>
    <row r="887" spans="1:8" s="5" customFormat="1" ht="12" x14ac:dyDescent="0.15">
      <c r="A887" s="11">
        <v>44868</v>
      </c>
      <c r="B887" s="7" t="s">
        <v>9</v>
      </c>
      <c r="C887" s="8" t="s">
        <v>10</v>
      </c>
      <c r="D887" s="8" t="s">
        <v>11</v>
      </c>
      <c r="E887" s="9"/>
      <c r="F887" s="14">
        <f t="shared" si="56"/>
        <v>8.6666666666666679</v>
      </c>
      <c r="H887" s="91"/>
    </row>
    <row r="888" spans="1:8" s="5" customFormat="1" ht="12" x14ac:dyDescent="0.15">
      <c r="A888" s="6">
        <v>44869</v>
      </c>
      <c r="B888" s="7" t="s">
        <v>14</v>
      </c>
      <c r="C888" s="8"/>
      <c r="D888" s="8"/>
      <c r="E888" s="9"/>
      <c r="F888" s="14" t="str">
        <f t="shared" si="56"/>
        <v/>
      </c>
      <c r="H888" s="91"/>
    </row>
    <row r="889" spans="1:8" s="5" customFormat="1" ht="12" x14ac:dyDescent="0.15">
      <c r="A889" s="11">
        <v>44870</v>
      </c>
      <c r="B889" s="7" t="s">
        <v>8</v>
      </c>
      <c r="C889" s="8"/>
      <c r="D889" s="8"/>
      <c r="E889" s="9"/>
      <c r="F889" s="14" t="str">
        <f t="shared" si="56"/>
        <v/>
      </c>
      <c r="H889" s="91"/>
    </row>
    <row r="890" spans="1:8" s="5" customFormat="1" ht="12" x14ac:dyDescent="0.15">
      <c r="A890" s="34">
        <v>44871</v>
      </c>
      <c r="B890" s="35" t="s">
        <v>8</v>
      </c>
      <c r="C890" s="28"/>
      <c r="D890" s="8"/>
      <c r="E890" s="9"/>
      <c r="F890" s="14" t="str">
        <f t="shared" si="56"/>
        <v/>
      </c>
      <c r="G890" s="29"/>
      <c r="H890" s="92"/>
    </row>
    <row r="891" spans="1:8" s="5" customFormat="1" ht="12" x14ac:dyDescent="0.15">
      <c r="A891" s="36">
        <v>44872</v>
      </c>
      <c r="B891" s="31" t="s">
        <v>9</v>
      </c>
      <c r="C891" s="32" t="s">
        <v>10</v>
      </c>
      <c r="D891" s="8" t="s">
        <v>11</v>
      </c>
      <c r="E891" s="9"/>
      <c r="F891" s="14">
        <f t="shared" si="56"/>
        <v>8.6666666666666679</v>
      </c>
      <c r="G891" s="33"/>
      <c r="H891" s="90">
        <f t="shared" ref="H891" si="64">SUM(F891:G897)</f>
        <v>60.666666666666686</v>
      </c>
    </row>
    <row r="892" spans="1:8" s="5" customFormat="1" ht="12" x14ac:dyDescent="0.15">
      <c r="A892" s="6">
        <v>44873</v>
      </c>
      <c r="B892" s="7" t="s">
        <v>9</v>
      </c>
      <c r="C892" s="8" t="s">
        <v>10</v>
      </c>
      <c r="D892" s="8" t="s">
        <v>11</v>
      </c>
      <c r="E892" s="9"/>
      <c r="F892" s="14">
        <f t="shared" si="56"/>
        <v>8.6666666666666679</v>
      </c>
      <c r="H892" s="91"/>
    </row>
    <row r="893" spans="1:8" s="5" customFormat="1" ht="12" x14ac:dyDescent="0.15">
      <c r="A893" s="11">
        <v>44874</v>
      </c>
      <c r="B893" s="7" t="s">
        <v>9</v>
      </c>
      <c r="C893" s="8" t="s">
        <v>10</v>
      </c>
      <c r="D893" s="8" t="s">
        <v>11</v>
      </c>
      <c r="E893" s="9"/>
      <c r="F893" s="14">
        <f t="shared" si="56"/>
        <v>8.6666666666666679</v>
      </c>
      <c r="H893" s="91"/>
    </row>
    <row r="894" spans="1:8" s="5" customFormat="1" ht="12" x14ac:dyDescent="0.15">
      <c r="A894" s="6">
        <v>44875</v>
      </c>
      <c r="B894" s="7" t="s">
        <v>9</v>
      </c>
      <c r="C894" s="8" t="s">
        <v>10</v>
      </c>
      <c r="D894" s="8" t="s">
        <v>11</v>
      </c>
      <c r="E894" s="9"/>
      <c r="F894" s="14">
        <f t="shared" si="56"/>
        <v>8.6666666666666679</v>
      </c>
      <c r="H894" s="91"/>
    </row>
    <row r="895" spans="1:8" s="5" customFormat="1" ht="12" x14ac:dyDescent="0.15">
      <c r="A895" s="11">
        <v>44876</v>
      </c>
      <c r="B895" s="7" t="s">
        <v>9</v>
      </c>
      <c r="C895" s="8" t="s">
        <v>10</v>
      </c>
      <c r="D895" s="8" t="s">
        <v>11</v>
      </c>
      <c r="E895" s="9"/>
      <c r="F895" s="14">
        <f t="shared" si="56"/>
        <v>8.6666666666666679</v>
      </c>
      <c r="H895" s="91"/>
    </row>
    <row r="896" spans="1:8" s="5" customFormat="1" ht="12" x14ac:dyDescent="0.15">
      <c r="A896" s="6">
        <v>44877</v>
      </c>
      <c r="B896" s="7" t="s">
        <v>15</v>
      </c>
      <c r="C896" s="8" t="s">
        <v>10</v>
      </c>
      <c r="D896" s="8" t="s">
        <v>11</v>
      </c>
      <c r="E896" s="9"/>
      <c r="F896" s="14">
        <f t="shared" si="56"/>
        <v>8.6666666666666679</v>
      </c>
      <c r="H896" s="91"/>
    </row>
    <row r="897" spans="1:8" s="5" customFormat="1" ht="12" x14ac:dyDescent="0.15">
      <c r="A897" s="43">
        <v>44878</v>
      </c>
      <c r="B897" s="35" t="s">
        <v>15</v>
      </c>
      <c r="C897" s="28" t="s">
        <v>10</v>
      </c>
      <c r="D897" s="8" t="s">
        <v>11</v>
      </c>
      <c r="E897" s="9"/>
      <c r="F897" s="14">
        <f t="shared" si="56"/>
        <v>8.6666666666666679</v>
      </c>
      <c r="G897" s="29"/>
      <c r="H897" s="92"/>
    </row>
    <row r="898" spans="1:8" s="5" customFormat="1" ht="12" x14ac:dyDescent="0.15">
      <c r="A898" s="30">
        <v>44879</v>
      </c>
      <c r="B898" s="31" t="s">
        <v>14</v>
      </c>
      <c r="C898" s="32"/>
      <c r="D898" s="8"/>
      <c r="E898" s="9"/>
      <c r="F898" s="14" t="str">
        <f t="shared" si="56"/>
        <v/>
      </c>
      <c r="G898" s="33"/>
      <c r="H898" s="90">
        <f t="shared" ref="H898" si="65">SUM(F898:G904)</f>
        <v>34.666666666666671</v>
      </c>
    </row>
    <row r="899" spans="1:8" s="5" customFormat="1" ht="12" x14ac:dyDescent="0.15">
      <c r="A899" s="11">
        <v>44880</v>
      </c>
      <c r="B899" s="7" t="s">
        <v>12</v>
      </c>
      <c r="C899" s="8" t="s">
        <v>10</v>
      </c>
      <c r="D899" s="8" t="s">
        <v>11</v>
      </c>
      <c r="E899" s="9"/>
      <c r="F899" s="14">
        <f t="shared" si="56"/>
        <v>8.6666666666666679</v>
      </c>
      <c r="H899" s="91"/>
    </row>
    <row r="900" spans="1:8" s="5" customFormat="1" ht="12" x14ac:dyDescent="0.15">
      <c r="A900" s="6">
        <v>44881</v>
      </c>
      <c r="B900" s="7" t="s">
        <v>12</v>
      </c>
      <c r="C900" s="8" t="s">
        <v>10</v>
      </c>
      <c r="D900" s="8" t="s">
        <v>11</v>
      </c>
      <c r="E900" s="9"/>
      <c r="F900" s="14">
        <f t="shared" si="56"/>
        <v>8.6666666666666679</v>
      </c>
      <c r="H900" s="91"/>
    </row>
    <row r="901" spans="1:8" s="5" customFormat="1" ht="12" x14ac:dyDescent="0.15">
      <c r="A901" s="11">
        <v>44882</v>
      </c>
      <c r="B901" s="7" t="s">
        <v>9</v>
      </c>
      <c r="C901" s="8" t="s">
        <v>10</v>
      </c>
      <c r="D901" s="8" t="s">
        <v>11</v>
      </c>
      <c r="E901" s="9"/>
      <c r="F901" s="14">
        <f t="shared" ref="F901:F964" si="66">IF(C901="", "", IF(D901="", "", (D901-C901)*24 - E901))</f>
        <v>8.6666666666666679</v>
      </c>
      <c r="H901" s="91"/>
    </row>
    <row r="902" spans="1:8" s="5" customFormat="1" ht="12" x14ac:dyDescent="0.15">
      <c r="A902" s="6">
        <v>44883</v>
      </c>
      <c r="B902" s="7" t="s">
        <v>9</v>
      </c>
      <c r="C902" s="8" t="s">
        <v>10</v>
      </c>
      <c r="D902" s="8" t="s">
        <v>11</v>
      </c>
      <c r="E902" s="9"/>
      <c r="F902" s="14">
        <f t="shared" si="66"/>
        <v>8.6666666666666679</v>
      </c>
      <c r="H902" s="91"/>
    </row>
    <row r="903" spans="1:8" s="5" customFormat="1" ht="12" x14ac:dyDescent="0.15">
      <c r="A903" s="11">
        <v>44884</v>
      </c>
      <c r="B903" s="7" t="s">
        <v>8</v>
      </c>
      <c r="C903" s="8"/>
      <c r="D903" s="8"/>
      <c r="E903" s="9"/>
      <c r="F903" s="14" t="str">
        <f t="shared" si="66"/>
        <v/>
      </c>
      <c r="H903" s="91"/>
    </row>
    <row r="904" spans="1:8" s="5" customFormat="1" ht="12" x14ac:dyDescent="0.15">
      <c r="A904" s="34">
        <v>44885</v>
      </c>
      <c r="B904" s="35" t="s">
        <v>8</v>
      </c>
      <c r="C904" s="28"/>
      <c r="D904" s="8"/>
      <c r="E904" s="9"/>
      <c r="F904" s="14" t="str">
        <f t="shared" si="66"/>
        <v/>
      </c>
      <c r="G904" s="29"/>
      <c r="H904" s="92"/>
    </row>
    <row r="905" spans="1:8" s="5" customFormat="1" ht="12" x14ac:dyDescent="0.15">
      <c r="A905" s="36">
        <v>44886</v>
      </c>
      <c r="B905" s="31" t="s">
        <v>14</v>
      </c>
      <c r="C905" s="32"/>
      <c r="D905" s="8"/>
      <c r="E905" s="9"/>
      <c r="F905" s="14" t="str">
        <f t="shared" si="66"/>
        <v/>
      </c>
      <c r="G905" s="33"/>
      <c r="H905" s="90">
        <f t="shared" ref="H905" si="67">SUM(F905:G911)</f>
        <v>26.000000000000004</v>
      </c>
    </row>
    <row r="906" spans="1:8" s="5" customFormat="1" ht="12" x14ac:dyDescent="0.15">
      <c r="A906" s="6">
        <v>44887</v>
      </c>
      <c r="B906" s="7" t="s">
        <v>9</v>
      </c>
      <c r="C906" s="8" t="s">
        <v>10</v>
      </c>
      <c r="D906" s="8" t="s">
        <v>11</v>
      </c>
      <c r="E906" s="9"/>
      <c r="F906" s="14">
        <f t="shared" si="66"/>
        <v>8.6666666666666679</v>
      </c>
      <c r="H906" s="91"/>
    </row>
    <row r="907" spans="1:8" s="5" customFormat="1" ht="12" x14ac:dyDescent="0.15">
      <c r="A907" s="11">
        <v>44888</v>
      </c>
      <c r="B907" s="7" t="s">
        <v>8</v>
      </c>
      <c r="C907" s="8"/>
      <c r="D907" s="8"/>
      <c r="E907" s="9"/>
      <c r="F907" s="14" t="str">
        <f t="shared" si="66"/>
        <v/>
      </c>
      <c r="H907" s="91"/>
    </row>
    <row r="908" spans="1:8" s="5" customFormat="1" ht="12" x14ac:dyDescent="0.15">
      <c r="A908" s="6">
        <v>44889</v>
      </c>
      <c r="B908" s="7" t="s">
        <v>9</v>
      </c>
      <c r="C908" s="8" t="s">
        <v>10</v>
      </c>
      <c r="D908" s="8" t="s">
        <v>11</v>
      </c>
      <c r="E908" s="9"/>
      <c r="F908" s="14">
        <f t="shared" si="66"/>
        <v>8.6666666666666679</v>
      </c>
      <c r="H908" s="91"/>
    </row>
    <row r="909" spans="1:8" s="5" customFormat="1" ht="12" x14ac:dyDescent="0.15">
      <c r="A909" s="11">
        <v>44890</v>
      </c>
      <c r="B909" s="7" t="s">
        <v>9</v>
      </c>
      <c r="C909" s="8" t="s">
        <v>10</v>
      </c>
      <c r="D909" s="8" t="s">
        <v>11</v>
      </c>
      <c r="E909" s="9"/>
      <c r="F909" s="14">
        <f t="shared" si="66"/>
        <v>8.6666666666666679</v>
      </c>
      <c r="H909" s="91"/>
    </row>
    <row r="910" spans="1:8" s="5" customFormat="1" ht="12" x14ac:dyDescent="0.15">
      <c r="A910" s="6">
        <v>44891</v>
      </c>
      <c r="B910" s="7" t="s">
        <v>8</v>
      </c>
      <c r="C910" s="8"/>
      <c r="D910" s="8"/>
      <c r="E910" s="9"/>
      <c r="F910" s="14" t="str">
        <f t="shared" si="66"/>
        <v/>
      </c>
      <c r="H910" s="91"/>
    </row>
    <row r="911" spans="1:8" s="5" customFormat="1" ht="12" x14ac:dyDescent="0.15">
      <c r="A911" s="43">
        <v>44892</v>
      </c>
      <c r="B911" s="35" t="s">
        <v>8</v>
      </c>
      <c r="C911" s="28"/>
      <c r="D911" s="8"/>
      <c r="E911" s="9"/>
      <c r="F911" s="14" t="str">
        <f t="shared" si="66"/>
        <v/>
      </c>
      <c r="G911" s="29"/>
      <c r="H911" s="92"/>
    </row>
    <row r="912" spans="1:8" s="5" customFormat="1" ht="12" x14ac:dyDescent="0.15">
      <c r="A912" s="30">
        <v>44893</v>
      </c>
      <c r="B912" s="31" t="s">
        <v>9</v>
      </c>
      <c r="C912" s="32" t="s">
        <v>10</v>
      </c>
      <c r="D912" s="8" t="s">
        <v>11</v>
      </c>
      <c r="E912" s="9"/>
      <c r="F912" s="14">
        <f t="shared" si="66"/>
        <v>8.6666666666666679</v>
      </c>
      <c r="G912" s="33"/>
      <c r="H912" s="90">
        <f t="shared" ref="H912" si="68">SUM(F912:G918)</f>
        <v>34.666666666666671</v>
      </c>
    </row>
    <row r="913" spans="1:8" s="5" customFormat="1" ht="12" x14ac:dyDescent="0.15">
      <c r="A913" s="11">
        <v>44894</v>
      </c>
      <c r="B913" s="7" t="s">
        <v>12</v>
      </c>
      <c r="C913" s="8" t="s">
        <v>10</v>
      </c>
      <c r="D913" s="8" t="s">
        <v>11</v>
      </c>
      <c r="E913" s="9"/>
      <c r="F913" s="14">
        <f t="shared" si="66"/>
        <v>8.6666666666666679</v>
      </c>
      <c r="H913" s="91"/>
    </row>
    <row r="914" spans="1:8" s="5" customFormat="1" ht="12" x14ac:dyDescent="0.15">
      <c r="A914" s="6">
        <v>44895</v>
      </c>
      <c r="B914" s="7" t="s">
        <v>12</v>
      </c>
      <c r="C914" s="8" t="s">
        <v>10</v>
      </c>
      <c r="D914" s="8" t="s">
        <v>11</v>
      </c>
      <c r="E914" s="9"/>
      <c r="F914" s="14">
        <f t="shared" si="66"/>
        <v>8.6666666666666679</v>
      </c>
      <c r="H914" s="91"/>
    </row>
    <row r="915" spans="1:8" s="5" customFormat="1" ht="12" x14ac:dyDescent="0.15">
      <c r="A915" s="11">
        <v>44896</v>
      </c>
      <c r="B915" s="7" t="s">
        <v>9</v>
      </c>
      <c r="C915" s="8" t="s">
        <v>10</v>
      </c>
      <c r="D915" s="8" t="s">
        <v>11</v>
      </c>
      <c r="E915" s="9"/>
      <c r="F915" s="14">
        <f t="shared" si="66"/>
        <v>8.6666666666666679</v>
      </c>
      <c r="H915" s="91"/>
    </row>
    <row r="916" spans="1:8" s="5" customFormat="1" ht="12" x14ac:dyDescent="0.15">
      <c r="A916" s="6">
        <v>44897</v>
      </c>
      <c r="B916" s="7" t="s">
        <v>14</v>
      </c>
      <c r="C916" s="8"/>
      <c r="D916" s="8"/>
      <c r="E916" s="9"/>
      <c r="F916" s="14" t="str">
        <f t="shared" si="66"/>
        <v/>
      </c>
      <c r="H916" s="91"/>
    </row>
    <row r="917" spans="1:8" s="5" customFormat="1" ht="12" x14ac:dyDescent="0.15">
      <c r="A917" s="11">
        <v>44898</v>
      </c>
      <c r="B917" s="7" t="s">
        <v>8</v>
      </c>
      <c r="C917" s="8"/>
      <c r="D917" s="8"/>
      <c r="E917" s="9"/>
      <c r="F917" s="14" t="str">
        <f t="shared" si="66"/>
        <v/>
      </c>
      <c r="H917" s="91"/>
    </row>
    <row r="918" spans="1:8" s="5" customFormat="1" ht="12" x14ac:dyDescent="0.15">
      <c r="A918" s="34">
        <v>44899</v>
      </c>
      <c r="B918" s="35" t="s">
        <v>8</v>
      </c>
      <c r="C918" s="28"/>
      <c r="D918" s="8"/>
      <c r="E918" s="9"/>
      <c r="F918" s="14" t="str">
        <f t="shared" si="66"/>
        <v/>
      </c>
      <c r="G918" s="29"/>
      <c r="H918" s="92"/>
    </row>
    <row r="919" spans="1:8" s="5" customFormat="1" ht="12" x14ac:dyDescent="0.15">
      <c r="A919" s="36">
        <v>44900</v>
      </c>
      <c r="B919" s="31" t="s">
        <v>9</v>
      </c>
      <c r="C919" s="32" t="s">
        <v>10</v>
      </c>
      <c r="D919" s="8" t="s">
        <v>11</v>
      </c>
      <c r="E919" s="9"/>
      <c r="F919" s="14">
        <f t="shared" si="66"/>
        <v>8.6666666666666679</v>
      </c>
      <c r="G919" s="33"/>
      <c r="H919" s="90">
        <f t="shared" ref="H919" si="69">SUM(F919:G925)</f>
        <v>60.666666666666686</v>
      </c>
    </row>
    <row r="920" spans="1:8" s="5" customFormat="1" ht="12" x14ac:dyDescent="0.15">
      <c r="A920" s="6">
        <v>44901</v>
      </c>
      <c r="B920" s="7" t="s">
        <v>9</v>
      </c>
      <c r="C920" s="8" t="s">
        <v>10</v>
      </c>
      <c r="D920" s="8" t="s">
        <v>11</v>
      </c>
      <c r="E920" s="9"/>
      <c r="F920" s="14">
        <f t="shared" si="66"/>
        <v>8.6666666666666679</v>
      </c>
      <c r="H920" s="91"/>
    </row>
    <row r="921" spans="1:8" s="5" customFormat="1" ht="12" x14ac:dyDescent="0.15">
      <c r="A921" s="11">
        <v>44902</v>
      </c>
      <c r="B921" s="7" t="s">
        <v>12</v>
      </c>
      <c r="C921" s="8" t="s">
        <v>10</v>
      </c>
      <c r="D921" s="8" t="s">
        <v>11</v>
      </c>
      <c r="E921" s="9"/>
      <c r="F921" s="14">
        <f t="shared" si="66"/>
        <v>8.6666666666666679</v>
      </c>
      <c r="H921" s="91"/>
    </row>
    <row r="922" spans="1:8" s="5" customFormat="1" ht="12" x14ac:dyDescent="0.15">
      <c r="A922" s="6">
        <v>44903</v>
      </c>
      <c r="B922" s="7" t="s">
        <v>9</v>
      </c>
      <c r="C922" s="8" t="s">
        <v>10</v>
      </c>
      <c r="D922" s="8" t="s">
        <v>11</v>
      </c>
      <c r="E922" s="9"/>
      <c r="F922" s="14">
        <f t="shared" si="66"/>
        <v>8.6666666666666679</v>
      </c>
      <c r="H922" s="91"/>
    </row>
    <row r="923" spans="1:8" s="5" customFormat="1" ht="12" x14ac:dyDescent="0.15">
      <c r="A923" s="11">
        <v>44904</v>
      </c>
      <c r="B923" s="7" t="s">
        <v>9</v>
      </c>
      <c r="C923" s="8" t="s">
        <v>10</v>
      </c>
      <c r="D923" s="8" t="s">
        <v>11</v>
      </c>
      <c r="E923" s="9"/>
      <c r="F923" s="14">
        <f t="shared" si="66"/>
        <v>8.6666666666666679</v>
      </c>
      <c r="H923" s="91"/>
    </row>
    <row r="924" spans="1:8" s="5" customFormat="1" ht="12" x14ac:dyDescent="0.15">
      <c r="A924" s="6">
        <v>44905</v>
      </c>
      <c r="B924" s="7" t="s">
        <v>15</v>
      </c>
      <c r="C924" s="8" t="s">
        <v>10</v>
      </c>
      <c r="D924" s="8" t="s">
        <v>11</v>
      </c>
      <c r="E924" s="9"/>
      <c r="F924" s="14">
        <f t="shared" si="66"/>
        <v>8.6666666666666679</v>
      </c>
      <c r="H924" s="91"/>
    </row>
    <row r="925" spans="1:8" s="5" customFormat="1" ht="12" x14ac:dyDescent="0.15">
      <c r="A925" s="43">
        <v>44906</v>
      </c>
      <c r="B925" s="35" t="s">
        <v>15</v>
      </c>
      <c r="C925" s="28" t="s">
        <v>10</v>
      </c>
      <c r="D925" s="8" t="s">
        <v>11</v>
      </c>
      <c r="E925" s="9"/>
      <c r="F925" s="14">
        <f t="shared" si="66"/>
        <v>8.6666666666666679</v>
      </c>
      <c r="G925" s="29"/>
      <c r="H925" s="92"/>
    </row>
    <row r="926" spans="1:8" s="5" customFormat="1" ht="12" x14ac:dyDescent="0.15">
      <c r="A926" s="30">
        <v>44907</v>
      </c>
      <c r="B926" s="31" t="s">
        <v>9</v>
      </c>
      <c r="C926" s="32" t="s">
        <v>10</v>
      </c>
      <c r="D926" s="8" t="s">
        <v>11</v>
      </c>
      <c r="E926" s="9"/>
      <c r="F926" s="14">
        <f t="shared" si="66"/>
        <v>8.6666666666666679</v>
      </c>
      <c r="G926" s="33"/>
      <c r="H926" s="90">
        <f t="shared" ref="H926" si="70">SUM(F926:G932)</f>
        <v>43.333333333333343</v>
      </c>
    </row>
    <row r="927" spans="1:8" s="5" customFormat="1" ht="12" x14ac:dyDescent="0.15">
      <c r="A927" s="11">
        <v>44908</v>
      </c>
      <c r="B927" s="7" t="s">
        <v>12</v>
      </c>
      <c r="C927" s="8" t="s">
        <v>10</v>
      </c>
      <c r="D927" s="8" t="s">
        <v>11</v>
      </c>
      <c r="E927" s="9"/>
      <c r="F927" s="14">
        <f t="shared" si="66"/>
        <v>8.6666666666666679</v>
      </c>
      <c r="H927" s="91"/>
    </row>
    <row r="928" spans="1:8" s="5" customFormat="1" ht="12" x14ac:dyDescent="0.15">
      <c r="A928" s="6">
        <v>44909</v>
      </c>
      <c r="B928" s="7" t="s">
        <v>12</v>
      </c>
      <c r="C928" s="8" t="s">
        <v>10</v>
      </c>
      <c r="D928" s="8" t="s">
        <v>11</v>
      </c>
      <c r="E928" s="9"/>
      <c r="F928" s="14">
        <f t="shared" si="66"/>
        <v>8.6666666666666679</v>
      </c>
      <c r="H928" s="91"/>
    </row>
    <row r="929" spans="1:8" s="5" customFormat="1" ht="12" x14ac:dyDescent="0.15">
      <c r="A929" s="11">
        <v>44910</v>
      </c>
      <c r="B929" s="7" t="s">
        <v>9</v>
      </c>
      <c r="C929" s="8" t="s">
        <v>10</v>
      </c>
      <c r="D929" s="8" t="s">
        <v>11</v>
      </c>
      <c r="E929" s="9"/>
      <c r="F929" s="14">
        <f t="shared" si="66"/>
        <v>8.6666666666666679</v>
      </c>
      <c r="H929" s="91"/>
    </row>
    <row r="930" spans="1:8" s="5" customFormat="1" ht="12" x14ac:dyDescent="0.15">
      <c r="A930" s="6">
        <v>44911</v>
      </c>
      <c r="B930" s="7" t="s">
        <v>9</v>
      </c>
      <c r="C930" s="8" t="s">
        <v>10</v>
      </c>
      <c r="D930" s="8" t="s">
        <v>11</v>
      </c>
      <c r="E930" s="9"/>
      <c r="F930" s="14">
        <f t="shared" si="66"/>
        <v>8.6666666666666679</v>
      </c>
      <c r="H930" s="91"/>
    </row>
    <row r="931" spans="1:8" s="5" customFormat="1" ht="12" x14ac:dyDescent="0.15">
      <c r="A931" s="11">
        <v>44912</v>
      </c>
      <c r="B931" s="7" t="s">
        <v>8</v>
      </c>
      <c r="C931" s="8"/>
      <c r="D931" s="8"/>
      <c r="E931" s="9"/>
      <c r="F931" s="14" t="str">
        <f t="shared" si="66"/>
        <v/>
      </c>
      <c r="H931" s="91"/>
    </row>
    <row r="932" spans="1:8" s="5" customFormat="1" ht="12" x14ac:dyDescent="0.15">
      <c r="A932" s="34">
        <v>44913</v>
      </c>
      <c r="B932" s="35" t="s">
        <v>8</v>
      </c>
      <c r="C932" s="28"/>
      <c r="D932" s="8"/>
      <c r="E932" s="9"/>
      <c r="F932" s="14" t="str">
        <f t="shared" si="66"/>
        <v/>
      </c>
      <c r="G932" s="29"/>
      <c r="H932" s="92"/>
    </row>
    <row r="933" spans="1:8" s="5" customFormat="1" ht="12" x14ac:dyDescent="0.15">
      <c r="A933" s="36">
        <v>44914</v>
      </c>
      <c r="B933" s="31" t="s">
        <v>14</v>
      </c>
      <c r="C933" s="32"/>
      <c r="D933" s="8"/>
      <c r="E933" s="9"/>
      <c r="F933" s="14" t="str">
        <f t="shared" si="66"/>
        <v/>
      </c>
      <c r="G933" s="33"/>
      <c r="H933" s="90">
        <f t="shared" ref="H933" si="71">SUM(F933:G939)</f>
        <v>26.000000000000004</v>
      </c>
    </row>
    <row r="934" spans="1:8" s="5" customFormat="1" ht="12" x14ac:dyDescent="0.15">
      <c r="A934" s="6">
        <v>44915</v>
      </c>
      <c r="B934" s="7" t="s">
        <v>9</v>
      </c>
      <c r="C934" s="8" t="s">
        <v>10</v>
      </c>
      <c r="D934" s="8" t="s">
        <v>11</v>
      </c>
      <c r="E934" s="9"/>
      <c r="F934" s="14">
        <f t="shared" si="66"/>
        <v>8.6666666666666679</v>
      </c>
      <c r="H934" s="91"/>
    </row>
    <row r="935" spans="1:8" s="5" customFormat="1" ht="12" x14ac:dyDescent="0.15">
      <c r="A935" s="11">
        <v>44916</v>
      </c>
      <c r="B935" s="7" t="s">
        <v>9</v>
      </c>
      <c r="C935" s="8" t="s">
        <v>10</v>
      </c>
      <c r="D935" s="8" t="s">
        <v>11</v>
      </c>
      <c r="E935" s="9"/>
      <c r="F935" s="14">
        <f t="shared" si="66"/>
        <v>8.6666666666666679</v>
      </c>
      <c r="H935" s="91"/>
    </row>
    <row r="936" spans="1:8" s="5" customFormat="1" ht="12" x14ac:dyDescent="0.15">
      <c r="A936" s="6">
        <v>44917</v>
      </c>
      <c r="B936" s="7" t="s">
        <v>8</v>
      </c>
      <c r="C936" s="8"/>
      <c r="D936" s="8"/>
      <c r="E936" s="9"/>
      <c r="F936" s="14" t="str">
        <f t="shared" si="66"/>
        <v/>
      </c>
      <c r="H936" s="91"/>
    </row>
    <row r="937" spans="1:8" s="5" customFormat="1" ht="12" x14ac:dyDescent="0.15">
      <c r="A937" s="11">
        <v>44918</v>
      </c>
      <c r="B937" s="7" t="s">
        <v>9</v>
      </c>
      <c r="C937" s="8" t="s">
        <v>10</v>
      </c>
      <c r="D937" s="8" t="s">
        <v>11</v>
      </c>
      <c r="E937" s="9"/>
      <c r="F937" s="14">
        <f t="shared" si="66"/>
        <v>8.6666666666666679</v>
      </c>
      <c r="H937" s="91"/>
    </row>
    <row r="938" spans="1:8" s="5" customFormat="1" ht="12" x14ac:dyDescent="0.15">
      <c r="A938" s="6">
        <v>44919</v>
      </c>
      <c r="B938" s="7" t="s">
        <v>8</v>
      </c>
      <c r="C938" s="8"/>
      <c r="D938" s="8"/>
      <c r="E938" s="9"/>
      <c r="F938" s="14" t="str">
        <f t="shared" si="66"/>
        <v/>
      </c>
      <c r="H938" s="91"/>
    </row>
    <row r="939" spans="1:8" s="5" customFormat="1" ht="12" x14ac:dyDescent="0.15">
      <c r="A939" s="43">
        <v>44920</v>
      </c>
      <c r="B939" s="35" t="s">
        <v>8</v>
      </c>
      <c r="C939" s="28"/>
      <c r="D939" s="8"/>
      <c r="E939" s="9"/>
      <c r="F939" s="14" t="str">
        <f t="shared" si="66"/>
        <v/>
      </c>
      <c r="G939" s="29"/>
      <c r="H939" s="92"/>
    </row>
    <row r="940" spans="1:8" s="5" customFormat="1" ht="12" x14ac:dyDescent="0.15">
      <c r="A940" s="30">
        <v>44921</v>
      </c>
      <c r="B940" s="31" t="s">
        <v>13</v>
      </c>
      <c r="C940" s="32"/>
      <c r="D940" s="8"/>
      <c r="E940" s="9"/>
      <c r="F940" s="14" t="str">
        <f t="shared" si="66"/>
        <v/>
      </c>
      <c r="G940" s="33"/>
      <c r="H940" s="90">
        <f t="shared" ref="H940" si="72">SUM(F940:G946)</f>
        <v>26.000000000000004</v>
      </c>
    </row>
    <row r="941" spans="1:8" s="5" customFormat="1" ht="12" x14ac:dyDescent="0.15">
      <c r="A941" s="11">
        <v>44922</v>
      </c>
      <c r="B941" s="7" t="s">
        <v>13</v>
      </c>
      <c r="C941" s="8"/>
      <c r="D941" s="8"/>
      <c r="E941" s="9"/>
      <c r="F941" s="14" t="str">
        <f t="shared" si="66"/>
        <v/>
      </c>
      <c r="H941" s="91"/>
    </row>
    <row r="942" spans="1:8" s="5" customFormat="1" ht="12" x14ac:dyDescent="0.15">
      <c r="A942" s="6">
        <v>44923</v>
      </c>
      <c r="B942" s="7" t="s">
        <v>9</v>
      </c>
      <c r="C942" s="8" t="s">
        <v>10</v>
      </c>
      <c r="D942" s="8" t="s">
        <v>11</v>
      </c>
      <c r="E942" s="9"/>
      <c r="F942" s="14">
        <f t="shared" si="66"/>
        <v>8.6666666666666679</v>
      </c>
      <c r="H942" s="91"/>
    </row>
    <row r="943" spans="1:8" s="5" customFormat="1" ht="12" x14ac:dyDescent="0.15">
      <c r="A943" s="11">
        <v>44924</v>
      </c>
      <c r="B943" s="7" t="s">
        <v>9</v>
      </c>
      <c r="C943" s="8" t="s">
        <v>10</v>
      </c>
      <c r="D943" s="8" t="s">
        <v>11</v>
      </c>
      <c r="E943" s="9"/>
      <c r="F943" s="14">
        <f t="shared" si="66"/>
        <v>8.6666666666666679</v>
      </c>
      <c r="H943" s="91"/>
    </row>
    <row r="944" spans="1:8" s="5" customFormat="1" ht="12" x14ac:dyDescent="0.15">
      <c r="A944" s="6">
        <v>44925</v>
      </c>
      <c r="B944" s="7" t="s">
        <v>9</v>
      </c>
      <c r="C944" s="8" t="s">
        <v>10</v>
      </c>
      <c r="D944" s="8" t="s">
        <v>11</v>
      </c>
      <c r="E944" s="9"/>
      <c r="F944" s="14">
        <f t="shared" si="66"/>
        <v>8.6666666666666679</v>
      </c>
      <c r="H944" s="91"/>
    </row>
    <row r="945" spans="1:8" s="5" customFormat="1" ht="12" x14ac:dyDescent="0.15">
      <c r="A945" s="37">
        <v>44926</v>
      </c>
      <c r="B945" s="38" t="s">
        <v>8</v>
      </c>
      <c r="C945" s="39"/>
      <c r="D945" s="39"/>
      <c r="E945" s="40"/>
      <c r="F945" s="41" t="str">
        <f t="shared" si="66"/>
        <v/>
      </c>
      <c r="G945" s="42"/>
      <c r="H945" s="91"/>
    </row>
    <row r="946" spans="1:8" s="5" customFormat="1" ht="12" x14ac:dyDescent="0.15">
      <c r="A946" s="6">
        <v>44927</v>
      </c>
      <c r="B946" s="7" t="s">
        <v>8</v>
      </c>
      <c r="C946" s="8"/>
      <c r="D946" s="8"/>
      <c r="E946" s="9"/>
      <c r="F946" s="14" t="str">
        <f t="shared" si="66"/>
        <v/>
      </c>
      <c r="H946" s="91"/>
    </row>
    <row r="947" spans="1:8" s="5" customFormat="1" ht="12" x14ac:dyDescent="0.15">
      <c r="A947" s="36">
        <v>44928</v>
      </c>
      <c r="B947" s="31" t="s">
        <v>13</v>
      </c>
      <c r="C947" s="32"/>
      <c r="D947" s="8"/>
      <c r="E947" s="9"/>
      <c r="F947" s="14" t="str">
        <f t="shared" si="66"/>
        <v/>
      </c>
      <c r="G947" s="33"/>
      <c r="H947" s="90">
        <f t="shared" ref="H947" si="73">SUM(F947:G953)</f>
        <v>43.333333333333343</v>
      </c>
    </row>
    <row r="948" spans="1:8" s="5" customFormat="1" ht="12" x14ac:dyDescent="0.15">
      <c r="A948" s="6">
        <v>44929</v>
      </c>
      <c r="B948" s="7" t="s">
        <v>14</v>
      </c>
      <c r="C948" s="8"/>
      <c r="D948" s="8"/>
      <c r="E948" s="9"/>
      <c r="F948" s="14" t="str">
        <f t="shared" si="66"/>
        <v/>
      </c>
      <c r="H948" s="91"/>
    </row>
    <row r="949" spans="1:8" s="5" customFormat="1" ht="12" x14ac:dyDescent="0.15">
      <c r="A949" s="11">
        <v>44930</v>
      </c>
      <c r="B949" s="7" t="s">
        <v>9</v>
      </c>
      <c r="C949" s="8" t="s">
        <v>10</v>
      </c>
      <c r="D949" s="8" t="s">
        <v>11</v>
      </c>
      <c r="E949" s="9"/>
      <c r="F949" s="14">
        <f t="shared" si="66"/>
        <v>8.6666666666666679</v>
      </c>
      <c r="H949" s="91"/>
    </row>
    <row r="950" spans="1:8" s="5" customFormat="1" ht="12" x14ac:dyDescent="0.15">
      <c r="A950" s="6">
        <v>44931</v>
      </c>
      <c r="B950" s="7" t="s">
        <v>9</v>
      </c>
      <c r="C950" s="8" t="s">
        <v>10</v>
      </c>
      <c r="D950" s="8" t="s">
        <v>11</v>
      </c>
      <c r="E950" s="9"/>
      <c r="F950" s="14">
        <f t="shared" si="66"/>
        <v>8.6666666666666679</v>
      </c>
      <c r="H950" s="91"/>
    </row>
    <row r="951" spans="1:8" s="5" customFormat="1" ht="12" x14ac:dyDescent="0.15">
      <c r="A951" s="11">
        <v>44932</v>
      </c>
      <c r="B951" s="7" t="s">
        <v>9</v>
      </c>
      <c r="C951" s="8" t="s">
        <v>10</v>
      </c>
      <c r="D951" s="8" t="s">
        <v>11</v>
      </c>
      <c r="E951" s="9"/>
      <c r="F951" s="14">
        <f t="shared" si="66"/>
        <v>8.6666666666666679</v>
      </c>
      <c r="H951" s="91"/>
    </row>
    <row r="952" spans="1:8" s="5" customFormat="1" ht="12" x14ac:dyDescent="0.15">
      <c r="A952" s="6">
        <v>44933</v>
      </c>
      <c r="B952" s="7" t="s">
        <v>15</v>
      </c>
      <c r="C952" s="8" t="s">
        <v>10</v>
      </c>
      <c r="D952" s="8" t="s">
        <v>11</v>
      </c>
      <c r="E952" s="9"/>
      <c r="F952" s="14">
        <f t="shared" si="66"/>
        <v>8.6666666666666679</v>
      </c>
      <c r="H952" s="91"/>
    </row>
    <row r="953" spans="1:8" s="5" customFormat="1" ht="12" x14ac:dyDescent="0.15">
      <c r="A953" s="43">
        <v>44934</v>
      </c>
      <c r="B953" s="35" t="s">
        <v>15</v>
      </c>
      <c r="C953" s="28" t="s">
        <v>10</v>
      </c>
      <c r="D953" s="8" t="s">
        <v>11</v>
      </c>
      <c r="E953" s="9"/>
      <c r="F953" s="14">
        <f t="shared" si="66"/>
        <v>8.6666666666666679</v>
      </c>
      <c r="G953" s="29"/>
      <c r="H953" s="92"/>
    </row>
    <row r="954" spans="1:8" s="5" customFormat="1" ht="12" x14ac:dyDescent="0.15">
      <c r="A954" s="30">
        <v>44935</v>
      </c>
      <c r="B954" s="31" t="s">
        <v>9</v>
      </c>
      <c r="C954" s="32" t="s">
        <v>10</v>
      </c>
      <c r="D954" s="8" t="s">
        <v>11</v>
      </c>
      <c r="E954" s="9"/>
      <c r="F954" s="14">
        <f t="shared" si="66"/>
        <v>8.6666666666666679</v>
      </c>
      <c r="G954" s="33"/>
      <c r="H954" s="90">
        <f t="shared" ref="H954" si="74">SUM(F954:G960)</f>
        <v>69.166666666666686</v>
      </c>
    </row>
    <row r="955" spans="1:8" s="5" customFormat="1" ht="12" x14ac:dyDescent="0.15">
      <c r="A955" s="11">
        <v>44936</v>
      </c>
      <c r="B955" s="7" t="s">
        <v>12</v>
      </c>
      <c r="C955" s="8" t="s">
        <v>10</v>
      </c>
      <c r="D955" s="8" t="s">
        <v>11</v>
      </c>
      <c r="E955" s="9"/>
      <c r="F955" s="14">
        <f t="shared" si="66"/>
        <v>8.6666666666666679</v>
      </c>
      <c r="H955" s="91"/>
    </row>
    <row r="956" spans="1:8" s="5" customFormat="1" ht="12" x14ac:dyDescent="0.15">
      <c r="A956" s="6">
        <v>44937</v>
      </c>
      <c r="B956" s="7" t="s">
        <v>12</v>
      </c>
      <c r="C956" s="8" t="s">
        <v>10</v>
      </c>
      <c r="D956" s="8" t="s">
        <v>11</v>
      </c>
      <c r="E956" s="9"/>
      <c r="F956" s="14">
        <f t="shared" si="66"/>
        <v>8.6666666666666679</v>
      </c>
      <c r="H956" s="91"/>
    </row>
    <row r="957" spans="1:8" s="5" customFormat="1" ht="12" x14ac:dyDescent="0.15">
      <c r="A957" s="11">
        <v>44938</v>
      </c>
      <c r="B957" s="7" t="s">
        <v>9</v>
      </c>
      <c r="C957" s="8" t="s">
        <v>10</v>
      </c>
      <c r="D957" s="8" t="s">
        <v>11</v>
      </c>
      <c r="E957" s="9"/>
      <c r="F957" s="14">
        <f t="shared" si="66"/>
        <v>8.6666666666666679</v>
      </c>
      <c r="G957" s="50">
        <v>5</v>
      </c>
      <c r="H957" s="91"/>
    </row>
    <row r="958" spans="1:8" s="5" customFormat="1" ht="12" x14ac:dyDescent="0.15">
      <c r="A958" s="6">
        <v>44939</v>
      </c>
      <c r="B958" s="7" t="s">
        <v>9</v>
      </c>
      <c r="C958" s="8" t="s">
        <v>10</v>
      </c>
      <c r="D958" s="8" t="s">
        <v>11</v>
      </c>
      <c r="E958" s="9"/>
      <c r="F958" s="14">
        <f t="shared" si="66"/>
        <v>8.6666666666666679</v>
      </c>
      <c r="G958" s="50">
        <v>0.5</v>
      </c>
      <c r="H958" s="91"/>
    </row>
    <row r="959" spans="1:8" s="5" customFormat="1" ht="12" x14ac:dyDescent="0.15">
      <c r="A959" s="11">
        <v>44940</v>
      </c>
      <c r="B959" s="7" t="s">
        <v>15</v>
      </c>
      <c r="C959" s="8" t="s">
        <v>10</v>
      </c>
      <c r="D959" s="8" t="s">
        <v>11</v>
      </c>
      <c r="E959" s="9"/>
      <c r="F959" s="14">
        <f t="shared" si="66"/>
        <v>8.6666666666666679</v>
      </c>
      <c r="G959" s="50">
        <v>2</v>
      </c>
      <c r="H959" s="91"/>
    </row>
    <row r="960" spans="1:8" s="5" customFormat="1" ht="12" x14ac:dyDescent="0.15">
      <c r="A960" s="34">
        <v>44941</v>
      </c>
      <c r="B960" s="35" t="s">
        <v>15</v>
      </c>
      <c r="C960" s="28" t="s">
        <v>10</v>
      </c>
      <c r="D960" s="8" t="s">
        <v>11</v>
      </c>
      <c r="E960" s="9"/>
      <c r="F960" s="14">
        <f t="shared" si="66"/>
        <v>8.6666666666666679</v>
      </c>
      <c r="G960" s="51">
        <v>1</v>
      </c>
      <c r="H960" s="92"/>
    </row>
    <row r="961" spans="1:8" s="5" customFormat="1" ht="12" x14ac:dyDescent="0.15">
      <c r="A961" s="36">
        <v>44942</v>
      </c>
      <c r="B961" s="31" t="s">
        <v>14</v>
      </c>
      <c r="C961" s="32"/>
      <c r="D961" s="8"/>
      <c r="E961" s="9"/>
      <c r="F961" s="14" t="str">
        <f t="shared" si="66"/>
        <v/>
      </c>
      <c r="G961" s="33"/>
      <c r="H961" s="90">
        <f t="shared" ref="H961" si="75">SUM(F961:G967)</f>
        <v>56.500000000000014</v>
      </c>
    </row>
    <row r="962" spans="1:8" s="5" customFormat="1" ht="12" x14ac:dyDescent="0.15">
      <c r="A962" s="6">
        <v>44943</v>
      </c>
      <c r="B962" s="7" t="s">
        <v>12</v>
      </c>
      <c r="C962" s="8" t="s">
        <v>10</v>
      </c>
      <c r="D962" s="8" t="s">
        <v>11</v>
      </c>
      <c r="E962" s="9"/>
      <c r="F962" s="14">
        <f t="shared" si="66"/>
        <v>8.6666666666666679</v>
      </c>
      <c r="H962" s="91"/>
    </row>
    <row r="963" spans="1:8" s="5" customFormat="1" ht="12" x14ac:dyDescent="0.15">
      <c r="A963" s="11">
        <v>44944</v>
      </c>
      <c r="B963" s="7" t="s">
        <v>12</v>
      </c>
      <c r="C963" s="8" t="s">
        <v>10</v>
      </c>
      <c r="D963" s="8" t="s">
        <v>11</v>
      </c>
      <c r="E963" s="9"/>
      <c r="F963" s="14">
        <f t="shared" si="66"/>
        <v>8.6666666666666679</v>
      </c>
      <c r="G963" s="50">
        <v>1</v>
      </c>
      <c r="H963" s="91"/>
    </row>
    <row r="964" spans="1:8" s="5" customFormat="1" ht="12" x14ac:dyDescent="0.15">
      <c r="A964" s="6">
        <v>44945</v>
      </c>
      <c r="B964" s="7" t="s">
        <v>9</v>
      </c>
      <c r="C964" s="8" t="s">
        <v>10</v>
      </c>
      <c r="D964" s="8" t="s">
        <v>11</v>
      </c>
      <c r="E964" s="9"/>
      <c r="F964" s="14">
        <f t="shared" si="66"/>
        <v>8.6666666666666679</v>
      </c>
      <c r="G964" s="50">
        <v>2</v>
      </c>
      <c r="H964" s="91"/>
    </row>
    <row r="965" spans="1:8" s="5" customFormat="1" ht="12" x14ac:dyDescent="0.15">
      <c r="A965" s="11">
        <v>44946</v>
      </c>
      <c r="B965" s="7" t="s">
        <v>9</v>
      </c>
      <c r="C965" s="8" t="s">
        <v>10</v>
      </c>
      <c r="D965" s="8" t="s">
        <v>11</v>
      </c>
      <c r="E965" s="9"/>
      <c r="F965" s="14">
        <f t="shared" ref="F965:F1028" si="76">IF(C965="", "", IF(D965="", "", (D965-C965)*24 - E965))</f>
        <v>8.6666666666666679</v>
      </c>
      <c r="H965" s="91"/>
    </row>
    <row r="966" spans="1:8" s="5" customFormat="1" ht="12" x14ac:dyDescent="0.15">
      <c r="A966" s="6">
        <v>44947</v>
      </c>
      <c r="B966" s="7" t="s">
        <v>15</v>
      </c>
      <c r="C966" s="8" t="s">
        <v>10</v>
      </c>
      <c r="D966" s="8" t="s">
        <v>11</v>
      </c>
      <c r="E966" s="9"/>
      <c r="F966" s="14">
        <f t="shared" si="76"/>
        <v>8.6666666666666679</v>
      </c>
      <c r="G966" s="50">
        <v>0.5</v>
      </c>
      <c r="H966" s="91"/>
    </row>
    <row r="967" spans="1:8" s="5" customFormat="1" ht="12" x14ac:dyDescent="0.15">
      <c r="A967" s="11">
        <v>44948</v>
      </c>
      <c r="B967" s="7" t="s">
        <v>15</v>
      </c>
      <c r="C967" s="8" t="s">
        <v>10</v>
      </c>
      <c r="D967" s="8" t="s">
        <v>11</v>
      </c>
      <c r="E967" s="9"/>
      <c r="F967" s="14">
        <f t="shared" si="76"/>
        <v>8.6666666666666679</v>
      </c>
      <c r="G967" s="50">
        <v>1</v>
      </c>
      <c r="H967" s="91"/>
    </row>
    <row r="968" spans="1:8" s="5" customFormat="1" ht="12" x14ac:dyDescent="0.15">
      <c r="A968" s="30">
        <v>44949</v>
      </c>
      <c r="B968" s="31" t="s">
        <v>9</v>
      </c>
      <c r="C968" s="32" t="s">
        <v>10</v>
      </c>
      <c r="D968" s="8" t="s">
        <v>11</v>
      </c>
      <c r="E968" s="9"/>
      <c r="F968" s="14">
        <f t="shared" si="76"/>
        <v>8.6666666666666679</v>
      </c>
      <c r="G968" s="33"/>
      <c r="H968" s="90">
        <f t="shared" ref="H968:H989" si="77">SUM(F968:G974)</f>
        <v>34.666666666666671</v>
      </c>
    </row>
    <row r="969" spans="1:8" s="5" customFormat="1" ht="12" x14ac:dyDescent="0.15">
      <c r="A969" s="11">
        <v>44950</v>
      </c>
      <c r="B969" s="7" t="s">
        <v>9</v>
      </c>
      <c r="C969" s="8" t="s">
        <v>10</v>
      </c>
      <c r="D969" s="8" t="s">
        <v>11</v>
      </c>
      <c r="E969" s="9"/>
      <c r="F969" s="14">
        <f t="shared" si="76"/>
        <v>8.6666666666666679</v>
      </c>
      <c r="H969" s="91"/>
    </row>
    <row r="970" spans="1:8" s="5" customFormat="1" ht="12" x14ac:dyDescent="0.15">
      <c r="A970" s="6">
        <v>44951</v>
      </c>
      <c r="B970" s="7" t="s">
        <v>12</v>
      </c>
      <c r="C970" s="8" t="s">
        <v>10</v>
      </c>
      <c r="D970" s="8" t="s">
        <v>11</v>
      </c>
      <c r="E970" s="9"/>
      <c r="F970" s="14">
        <f t="shared" si="76"/>
        <v>8.6666666666666679</v>
      </c>
      <c r="H970" s="91"/>
    </row>
    <row r="971" spans="1:8" s="5" customFormat="1" ht="12" x14ac:dyDescent="0.15">
      <c r="A971" s="11">
        <v>44952</v>
      </c>
      <c r="B971" s="7" t="s">
        <v>13</v>
      </c>
      <c r="C971" s="8"/>
      <c r="D971" s="8"/>
      <c r="E971" s="9"/>
      <c r="F971" s="14" t="str">
        <f t="shared" si="76"/>
        <v/>
      </c>
      <c r="H971" s="91"/>
    </row>
    <row r="972" spans="1:8" s="5" customFormat="1" ht="12" x14ac:dyDescent="0.15">
      <c r="A972" s="6">
        <v>44953</v>
      </c>
      <c r="B972" s="7" t="s">
        <v>9</v>
      </c>
      <c r="C972" s="8" t="s">
        <v>10</v>
      </c>
      <c r="D972" s="8" t="s">
        <v>11</v>
      </c>
      <c r="E972" s="9"/>
      <c r="F972" s="14">
        <f t="shared" si="76"/>
        <v>8.6666666666666679</v>
      </c>
      <c r="H972" s="91"/>
    </row>
    <row r="973" spans="1:8" s="5" customFormat="1" ht="12" x14ac:dyDescent="0.15">
      <c r="A973" s="11">
        <v>44954</v>
      </c>
      <c r="B973" s="7" t="s">
        <v>8</v>
      </c>
      <c r="C973" s="8"/>
      <c r="D973" s="8"/>
      <c r="E973" s="9"/>
      <c r="F973" s="14" t="str">
        <f t="shared" si="76"/>
        <v/>
      </c>
      <c r="H973" s="91"/>
    </row>
    <row r="974" spans="1:8" s="5" customFormat="1" ht="12" x14ac:dyDescent="0.15">
      <c r="A974" s="34">
        <v>44955</v>
      </c>
      <c r="B974" s="35" t="s">
        <v>8</v>
      </c>
      <c r="C974" s="28"/>
      <c r="D974" s="8"/>
      <c r="E974" s="9"/>
      <c r="F974" s="14" t="str">
        <f t="shared" si="76"/>
        <v/>
      </c>
      <c r="G974" s="29"/>
      <c r="H974" s="92"/>
    </row>
    <row r="975" spans="1:8" s="5" customFormat="1" ht="12" x14ac:dyDescent="0.15">
      <c r="A975" s="36">
        <v>44956</v>
      </c>
      <c r="B975" s="31" t="s">
        <v>14</v>
      </c>
      <c r="C975" s="32"/>
      <c r="D975" s="8"/>
      <c r="E975" s="9"/>
      <c r="F975" s="14" t="str">
        <f t="shared" si="76"/>
        <v/>
      </c>
      <c r="G975" s="33"/>
      <c r="H975" s="90">
        <f t="shared" si="77"/>
        <v>34.666666666666671</v>
      </c>
    </row>
    <row r="976" spans="1:8" s="5" customFormat="1" ht="12" x14ac:dyDescent="0.15">
      <c r="A976" s="6">
        <v>44957</v>
      </c>
      <c r="B976" s="7" t="s">
        <v>8</v>
      </c>
      <c r="C976" s="8"/>
      <c r="D976" s="8"/>
      <c r="E976" s="9"/>
      <c r="F976" s="14" t="str">
        <f t="shared" si="76"/>
        <v/>
      </c>
      <c r="H976" s="91"/>
    </row>
    <row r="977" spans="1:8" s="5" customFormat="1" ht="12" x14ac:dyDescent="0.15">
      <c r="A977" s="11">
        <v>44958</v>
      </c>
      <c r="B977" s="7" t="s">
        <v>8</v>
      </c>
      <c r="C977" s="8"/>
      <c r="D977" s="8"/>
      <c r="E977" s="9"/>
      <c r="F977" s="14" t="str">
        <f t="shared" si="76"/>
        <v/>
      </c>
      <c r="H977" s="91"/>
    </row>
    <row r="978" spans="1:8" s="5" customFormat="1" ht="12" x14ac:dyDescent="0.15">
      <c r="A978" s="6">
        <v>44959</v>
      </c>
      <c r="B978" s="7" t="s">
        <v>9</v>
      </c>
      <c r="C978" s="8" t="s">
        <v>10</v>
      </c>
      <c r="D978" s="8" t="s">
        <v>11</v>
      </c>
      <c r="E978" s="9"/>
      <c r="F978" s="14">
        <f t="shared" si="76"/>
        <v>8.6666666666666679</v>
      </c>
      <c r="H978" s="91"/>
    </row>
    <row r="979" spans="1:8" s="5" customFormat="1" ht="12" x14ac:dyDescent="0.15">
      <c r="A979" s="11">
        <v>44960</v>
      </c>
      <c r="B979" s="7" t="s">
        <v>9</v>
      </c>
      <c r="C979" s="8" t="s">
        <v>10</v>
      </c>
      <c r="D979" s="8" t="s">
        <v>11</v>
      </c>
      <c r="E979" s="9"/>
      <c r="F979" s="14">
        <f t="shared" si="76"/>
        <v>8.6666666666666679</v>
      </c>
      <c r="H979" s="91"/>
    </row>
    <row r="980" spans="1:8" s="5" customFormat="1" ht="12" x14ac:dyDescent="0.15">
      <c r="A980" s="6">
        <v>44961</v>
      </c>
      <c r="B980" s="7" t="s">
        <v>15</v>
      </c>
      <c r="C980" s="8" t="s">
        <v>10</v>
      </c>
      <c r="D980" s="8" t="s">
        <v>11</v>
      </c>
      <c r="E980" s="9"/>
      <c r="F980" s="14">
        <f t="shared" si="76"/>
        <v>8.6666666666666679</v>
      </c>
      <c r="H980" s="91"/>
    </row>
    <row r="981" spans="1:8" s="5" customFormat="1" ht="12" x14ac:dyDescent="0.15">
      <c r="A981" s="43">
        <v>44962</v>
      </c>
      <c r="B981" s="35" t="s">
        <v>15</v>
      </c>
      <c r="C981" s="28" t="s">
        <v>10</v>
      </c>
      <c r="D981" s="8" t="s">
        <v>11</v>
      </c>
      <c r="E981" s="9"/>
      <c r="F981" s="14">
        <f t="shared" si="76"/>
        <v>8.6666666666666679</v>
      </c>
      <c r="G981" s="29"/>
      <c r="H981" s="92"/>
    </row>
    <row r="982" spans="1:8" s="5" customFormat="1" ht="12" x14ac:dyDescent="0.15">
      <c r="A982" s="30">
        <v>44963</v>
      </c>
      <c r="B982" s="31" t="s">
        <v>12</v>
      </c>
      <c r="C982" s="32" t="s">
        <v>10</v>
      </c>
      <c r="D982" s="8" t="s">
        <v>11</v>
      </c>
      <c r="E982" s="9"/>
      <c r="F982" s="14">
        <f t="shared" si="76"/>
        <v>8.6666666666666679</v>
      </c>
      <c r="G982" s="33"/>
      <c r="H982" s="90">
        <f t="shared" si="77"/>
        <v>43.333333333333343</v>
      </c>
    </row>
    <row r="983" spans="1:8" s="5" customFormat="1" ht="12" x14ac:dyDescent="0.15">
      <c r="A983" s="11">
        <v>44964</v>
      </c>
      <c r="B983" s="7" t="s">
        <v>12</v>
      </c>
      <c r="C983" s="8" t="s">
        <v>10</v>
      </c>
      <c r="D983" s="8" t="s">
        <v>11</v>
      </c>
      <c r="E983" s="9"/>
      <c r="F983" s="14">
        <f t="shared" si="76"/>
        <v>8.6666666666666679</v>
      </c>
      <c r="H983" s="91"/>
    </row>
    <row r="984" spans="1:8" s="5" customFormat="1" ht="12" x14ac:dyDescent="0.15">
      <c r="A984" s="6">
        <v>44965</v>
      </c>
      <c r="B984" s="7" t="s">
        <v>12</v>
      </c>
      <c r="C984" s="8" t="s">
        <v>10</v>
      </c>
      <c r="D984" s="8" t="s">
        <v>11</v>
      </c>
      <c r="E984" s="9"/>
      <c r="F984" s="14">
        <f t="shared" si="76"/>
        <v>8.6666666666666679</v>
      </c>
      <c r="H984" s="91"/>
    </row>
    <row r="985" spans="1:8" s="5" customFormat="1" ht="12" x14ac:dyDescent="0.15">
      <c r="A985" s="11">
        <v>44966</v>
      </c>
      <c r="B985" s="7" t="s">
        <v>9</v>
      </c>
      <c r="C985" s="8" t="s">
        <v>10</v>
      </c>
      <c r="D985" s="8" t="s">
        <v>11</v>
      </c>
      <c r="E985" s="9"/>
      <c r="F985" s="14">
        <f t="shared" si="76"/>
        <v>8.6666666666666679</v>
      </c>
      <c r="H985" s="91"/>
    </row>
    <row r="986" spans="1:8" s="5" customFormat="1" ht="12" x14ac:dyDescent="0.15">
      <c r="A986" s="6">
        <v>44967</v>
      </c>
      <c r="B986" s="7" t="s">
        <v>9</v>
      </c>
      <c r="C986" s="8" t="s">
        <v>10</v>
      </c>
      <c r="D986" s="8" t="s">
        <v>11</v>
      </c>
      <c r="E986" s="9"/>
      <c r="F986" s="14">
        <f t="shared" si="76"/>
        <v>8.6666666666666679</v>
      </c>
      <c r="H986" s="91"/>
    </row>
    <row r="987" spans="1:8" s="5" customFormat="1" ht="12" x14ac:dyDescent="0.15">
      <c r="A987" s="11">
        <v>44968</v>
      </c>
      <c r="B987" s="7" t="s">
        <v>8</v>
      </c>
      <c r="C987" s="8"/>
      <c r="D987" s="8"/>
      <c r="E987" s="9"/>
      <c r="F987" s="14" t="str">
        <f t="shared" si="76"/>
        <v/>
      </c>
      <c r="H987" s="91"/>
    </row>
    <row r="988" spans="1:8" s="5" customFormat="1" ht="12" x14ac:dyDescent="0.15">
      <c r="A988" s="34">
        <v>44969</v>
      </c>
      <c r="B988" s="35" t="s">
        <v>8</v>
      </c>
      <c r="C988" s="28"/>
      <c r="D988" s="8"/>
      <c r="E988" s="9"/>
      <c r="F988" s="14" t="str">
        <f t="shared" si="76"/>
        <v/>
      </c>
      <c r="G988" s="29"/>
      <c r="H988" s="92"/>
    </row>
    <row r="989" spans="1:8" s="5" customFormat="1" ht="12" x14ac:dyDescent="0.15">
      <c r="A989" s="36">
        <v>44970</v>
      </c>
      <c r="B989" s="31" t="s">
        <v>14</v>
      </c>
      <c r="C989" s="32"/>
      <c r="D989" s="8"/>
      <c r="E989" s="9"/>
      <c r="F989" s="14" t="str">
        <f t="shared" si="76"/>
        <v/>
      </c>
      <c r="G989" s="33"/>
      <c r="H989" s="90">
        <f t="shared" si="77"/>
        <v>26.000000000000004</v>
      </c>
    </row>
    <row r="990" spans="1:8" s="5" customFormat="1" ht="12" x14ac:dyDescent="0.15">
      <c r="A990" s="6">
        <v>44971</v>
      </c>
      <c r="B990" s="7" t="s">
        <v>8</v>
      </c>
      <c r="C990" s="8"/>
      <c r="D990" s="8"/>
      <c r="E990" s="9"/>
      <c r="F990" s="14" t="str">
        <f t="shared" si="76"/>
        <v/>
      </c>
      <c r="H990" s="91"/>
    </row>
    <row r="991" spans="1:8" s="5" customFormat="1" ht="12" x14ac:dyDescent="0.15">
      <c r="A991" s="11">
        <v>44972</v>
      </c>
      <c r="B991" s="7" t="s">
        <v>9</v>
      </c>
      <c r="C991" s="8" t="s">
        <v>10</v>
      </c>
      <c r="D991" s="8" t="s">
        <v>11</v>
      </c>
      <c r="E991" s="9"/>
      <c r="F991" s="14">
        <f t="shared" si="76"/>
        <v>8.6666666666666679</v>
      </c>
      <c r="H991" s="91"/>
    </row>
    <row r="992" spans="1:8" s="5" customFormat="1" ht="12" x14ac:dyDescent="0.15">
      <c r="A992" s="6">
        <v>44973</v>
      </c>
      <c r="B992" s="7" t="s">
        <v>9</v>
      </c>
      <c r="C992" s="8" t="s">
        <v>10</v>
      </c>
      <c r="D992" s="8" t="s">
        <v>11</v>
      </c>
      <c r="E992" s="9"/>
      <c r="F992" s="14">
        <f t="shared" si="76"/>
        <v>8.6666666666666679</v>
      </c>
      <c r="H992" s="91"/>
    </row>
    <row r="993" spans="1:8" s="5" customFormat="1" ht="12" x14ac:dyDescent="0.15">
      <c r="A993" s="11">
        <v>44974</v>
      </c>
      <c r="B993" s="7" t="s">
        <v>9</v>
      </c>
      <c r="C993" s="8" t="s">
        <v>10</v>
      </c>
      <c r="D993" s="8" t="s">
        <v>11</v>
      </c>
      <c r="E993" s="9"/>
      <c r="F993" s="14">
        <f t="shared" si="76"/>
        <v>8.6666666666666679</v>
      </c>
      <c r="H993" s="91"/>
    </row>
    <row r="994" spans="1:8" s="5" customFormat="1" ht="12" x14ac:dyDescent="0.15">
      <c r="A994" s="6">
        <v>44975</v>
      </c>
      <c r="B994" s="7" t="s">
        <v>8</v>
      </c>
      <c r="C994" s="8"/>
      <c r="D994" s="8"/>
      <c r="E994" s="9"/>
      <c r="F994" s="14" t="str">
        <f t="shared" si="76"/>
        <v/>
      </c>
      <c r="H994" s="91"/>
    </row>
    <row r="995" spans="1:8" s="5" customFormat="1" ht="12" x14ac:dyDescent="0.15">
      <c r="A995" s="11">
        <v>44976</v>
      </c>
      <c r="B995" s="7" t="s">
        <v>8</v>
      </c>
      <c r="C995" s="8"/>
      <c r="D995" s="8"/>
      <c r="E995" s="9"/>
      <c r="F995" s="14" t="str">
        <f t="shared" si="76"/>
        <v/>
      </c>
      <c r="H995" s="91"/>
    </row>
    <row r="996" spans="1:8" s="5" customFormat="1" ht="12" x14ac:dyDescent="0.15">
      <c r="A996" s="30">
        <v>44977</v>
      </c>
      <c r="B996" s="31" t="s">
        <v>9</v>
      </c>
      <c r="C996" s="32" t="s">
        <v>10</v>
      </c>
      <c r="D996" s="8" t="s">
        <v>11</v>
      </c>
      <c r="E996" s="9"/>
      <c r="F996" s="14">
        <f t="shared" si="76"/>
        <v>8.6666666666666679</v>
      </c>
      <c r="G996" s="33"/>
      <c r="H996" s="90">
        <f t="shared" ref="H996" si="78">SUM(F996:G1002)</f>
        <v>65.166666666666686</v>
      </c>
    </row>
    <row r="997" spans="1:8" s="5" customFormat="1" ht="12" x14ac:dyDescent="0.15">
      <c r="A997" s="11">
        <v>44978</v>
      </c>
      <c r="B997" s="7" t="s">
        <v>9</v>
      </c>
      <c r="C997" s="8" t="s">
        <v>10</v>
      </c>
      <c r="D997" s="8" t="s">
        <v>11</v>
      </c>
      <c r="E997" s="9"/>
      <c r="F997" s="14">
        <f t="shared" si="76"/>
        <v>8.6666666666666679</v>
      </c>
      <c r="G997" s="50">
        <v>1.5</v>
      </c>
      <c r="H997" s="91"/>
    </row>
    <row r="998" spans="1:8" s="5" customFormat="1" ht="12" x14ac:dyDescent="0.15">
      <c r="A998" s="6">
        <v>44979</v>
      </c>
      <c r="B998" s="7" t="s">
        <v>12</v>
      </c>
      <c r="C998" s="8" t="s">
        <v>10</v>
      </c>
      <c r="D998" s="8" t="s">
        <v>11</v>
      </c>
      <c r="E998" s="9"/>
      <c r="F998" s="14">
        <f t="shared" si="76"/>
        <v>8.6666666666666679</v>
      </c>
      <c r="H998" s="91"/>
    </row>
    <row r="999" spans="1:8" s="5" customFormat="1" ht="12" x14ac:dyDescent="0.15">
      <c r="A999" s="11">
        <v>44980</v>
      </c>
      <c r="B999" s="7" t="s">
        <v>9</v>
      </c>
      <c r="C999" s="8" t="s">
        <v>10</v>
      </c>
      <c r="D999" s="8" t="s">
        <v>11</v>
      </c>
      <c r="E999" s="9"/>
      <c r="F999" s="14">
        <f t="shared" si="76"/>
        <v>8.6666666666666679</v>
      </c>
      <c r="G999" s="50">
        <v>0.5</v>
      </c>
      <c r="H999" s="91"/>
    </row>
    <row r="1000" spans="1:8" s="5" customFormat="1" ht="12" x14ac:dyDescent="0.15">
      <c r="A1000" s="6">
        <v>44981</v>
      </c>
      <c r="B1000" s="7" t="s">
        <v>9</v>
      </c>
      <c r="C1000" s="8" t="s">
        <v>10</v>
      </c>
      <c r="D1000" s="8" t="s">
        <v>11</v>
      </c>
      <c r="E1000" s="9"/>
      <c r="F1000" s="14">
        <f t="shared" si="76"/>
        <v>8.6666666666666679</v>
      </c>
      <c r="H1000" s="91"/>
    </row>
    <row r="1001" spans="1:8" s="5" customFormat="1" ht="12" x14ac:dyDescent="0.15">
      <c r="A1001" s="11">
        <v>44982</v>
      </c>
      <c r="B1001" s="7" t="s">
        <v>15</v>
      </c>
      <c r="C1001" s="8" t="s">
        <v>10</v>
      </c>
      <c r="D1001" s="8" t="s">
        <v>11</v>
      </c>
      <c r="E1001" s="9"/>
      <c r="F1001" s="14">
        <f t="shared" si="76"/>
        <v>8.6666666666666679</v>
      </c>
      <c r="G1001" s="50">
        <v>0.5</v>
      </c>
      <c r="H1001" s="91"/>
    </row>
    <row r="1002" spans="1:8" s="5" customFormat="1" ht="12" x14ac:dyDescent="0.15">
      <c r="A1002" s="34">
        <v>44983</v>
      </c>
      <c r="B1002" s="35" t="s">
        <v>15</v>
      </c>
      <c r="C1002" s="28" t="s">
        <v>10</v>
      </c>
      <c r="D1002" s="8" t="s">
        <v>11</v>
      </c>
      <c r="E1002" s="9"/>
      <c r="F1002" s="14">
        <f t="shared" si="76"/>
        <v>8.6666666666666679</v>
      </c>
      <c r="G1002" s="51">
        <v>2</v>
      </c>
      <c r="H1002" s="92"/>
    </row>
    <row r="1003" spans="1:8" s="5" customFormat="1" ht="12" x14ac:dyDescent="0.15">
      <c r="A1003" s="36">
        <v>44984</v>
      </c>
      <c r="B1003" s="31" t="s">
        <v>15</v>
      </c>
      <c r="C1003" s="32" t="s">
        <v>10</v>
      </c>
      <c r="D1003" s="8" t="s">
        <v>11</v>
      </c>
      <c r="E1003" s="9"/>
      <c r="F1003" s="14">
        <f t="shared" si="76"/>
        <v>8.6666666666666679</v>
      </c>
      <c r="G1003" s="33"/>
      <c r="H1003" s="90">
        <f t="shared" ref="H1003:H1031" si="79">SUM(F1003:G1009)</f>
        <v>60.666666666666686</v>
      </c>
    </row>
    <row r="1004" spans="1:8" s="5" customFormat="1" ht="12" x14ac:dyDescent="0.15">
      <c r="A1004" s="6">
        <v>44985</v>
      </c>
      <c r="B1004" s="7" t="s">
        <v>9</v>
      </c>
      <c r="C1004" s="8" t="s">
        <v>10</v>
      </c>
      <c r="D1004" s="8" t="s">
        <v>11</v>
      </c>
      <c r="E1004" s="9"/>
      <c r="F1004" s="14">
        <f t="shared" si="76"/>
        <v>8.6666666666666679</v>
      </c>
      <c r="H1004" s="91"/>
    </row>
    <row r="1005" spans="1:8" s="5" customFormat="1" ht="12" x14ac:dyDescent="0.15">
      <c r="A1005" s="11">
        <v>44986</v>
      </c>
      <c r="B1005" s="7" t="s">
        <v>9</v>
      </c>
      <c r="C1005" s="8" t="s">
        <v>10</v>
      </c>
      <c r="D1005" s="8" t="s">
        <v>11</v>
      </c>
      <c r="E1005" s="9"/>
      <c r="F1005" s="14">
        <f t="shared" si="76"/>
        <v>8.6666666666666679</v>
      </c>
      <c r="H1005" s="91"/>
    </row>
    <row r="1006" spans="1:8" s="5" customFormat="1" ht="12" x14ac:dyDescent="0.15">
      <c r="A1006" s="6">
        <v>44987</v>
      </c>
      <c r="B1006" s="7" t="s">
        <v>9</v>
      </c>
      <c r="C1006" s="8" t="s">
        <v>10</v>
      </c>
      <c r="D1006" s="8" t="s">
        <v>11</v>
      </c>
      <c r="E1006" s="9"/>
      <c r="F1006" s="14">
        <f t="shared" si="76"/>
        <v>8.6666666666666679</v>
      </c>
      <c r="H1006" s="91"/>
    </row>
    <row r="1007" spans="1:8" s="5" customFormat="1" ht="12" x14ac:dyDescent="0.15">
      <c r="A1007" s="11">
        <v>44988</v>
      </c>
      <c r="B1007" s="7" t="s">
        <v>12</v>
      </c>
      <c r="C1007" s="8" t="s">
        <v>10</v>
      </c>
      <c r="D1007" s="8" t="s">
        <v>11</v>
      </c>
      <c r="E1007" s="9"/>
      <c r="F1007" s="14">
        <f t="shared" si="76"/>
        <v>8.6666666666666679</v>
      </c>
      <c r="H1007" s="91"/>
    </row>
    <row r="1008" spans="1:8" s="5" customFormat="1" ht="12" x14ac:dyDescent="0.15">
      <c r="A1008" s="6">
        <v>44989</v>
      </c>
      <c r="B1008" s="7" t="s">
        <v>15</v>
      </c>
      <c r="C1008" s="8" t="s">
        <v>10</v>
      </c>
      <c r="D1008" s="8" t="s">
        <v>11</v>
      </c>
      <c r="E1008" s="9"/>
      <c r="F1008" s="14">
        <f t="shared" si="76"/>
        <v>8.6666666666666679</v>
      </c>
      <c r="H1008" s="91"/>
    </row>
    <row r="1009" spans="1:8" s="5" customFormat="1" ht="12" x14ac:dyDescent="0.15">
      <c r="A1009" s="43">
        <v>44990</v>
      </c>
      <c r="B1009" s="35" t="s">
        <v>15</v>
      </c>
      <c r="C1009" s="28" t="s">
        <v>10</v>
      </c>
      <c r="D1009" s="8" t="s">
        <v>11</v>
      </c>
      <c r="E1009" s="9"/>
      <c r="F1009" s="14">
        <f t="shared" si="76"/>
        <v>8.6666666666666679</v>
      </c>
      <c r="G1009" s="29"/>
      <c r="H1009" s="92"/>
    </row>
    <row r="1010" spans="1:8" s="5" customFormat="1" ht="12" x14ac:dyDescent="0.15">
      <c r="A1010" s="30">
        <v>44991</v>
      </c>
      <c r="B1010" s="31" t="s">
        <v>9</v>
      </c>
      <c r="C1010" s="32" t="s">
        <v>10</v>
      </c>
      <c r="D1010" s="8">
        <v>0.6875</v>
      </c>
      <c r="E1010" s="9"/>
      <c r="F1010" s="14">
        <f t="shared" si="76"/>
        <v>9.6666666666666679</v>
      </c>
      <c r="G1010" s="33"/>
      <c r="H1010" s="90">
        <f t="shared" si="79"/>
        <v>44.333333333333343</v>
      </c>
    </row>
    <row r="1011" spans="1:8" s="5" customFormat="1" ht="12" x14ac:dyDescent="0.15">
      <c r="A1011" s="11">
        <v>44992</v>
      </c>
      <c r="B1011" s="7" t="s">
        <v>9</v>
      </c>
      <c r="C1011" s="8" t="s">
        <v>10</v>
      </c>
      <c r="D1011" s="8" t="s">
        <v>11</v>
      </c>
      <c r="E1011" s="9"/>
      <c r="F1011" s="14">
        <f t="shared" si="76"/>
        <v>8.6666666666666679</v>
      </c>
      <c r="H1011" s="91"/>
    </row>
    <row r="1012" spans="1:8" s="5" customFormat="1" ht="12" x14ac:dyDescent="0.15">
      <c r="A1012" s="6">
        <v>44993</v>
      </c>
      <c r="B1012" s="7" t="s">
        <v>9</v>
      </c>
      <c r="C1012" s="8" t="s">
        <v>10</v>
      </c>
      <c r="D1012" s="8" t="s">
        <v>11</v>
      </c>
      <c r="E1012" s="9"/>
      <c r="F1012" s="14">
        <f t="shared" si="76"/>
        <v>8.6666666666666679</v>
      </c>
      <c r="H1012" s="91"/>
    </row>
    <row r="1013" spans="1:8" s="5" customFormat="1" ht="12" x14ac:dyDescent="0.15">
      <c r="A1013" s="11">
        <v>44994</v>
      </c>
      <c r="B1013" s="7" t="s">
        <v>12</v>
      </c>
      <c r="C1013" s="8" t="s">
        <v>10</v>
      </c>
      <c r="D1013" s="8" t="s">
        <v>11</v>
      </c>
      <c r="E1013" s="9"/>
      <c r="F1013" s="14">
        <f t="shared" si="76"/>
        <v>8.6666666666666679</v>
      </c>
      <c r="H1013" s="91"/>
    </row>
    <row r="1014" spans="1:8" s="5" customFormat="1" ht="12" x14ac:dyDescent="0.15">
      <c r="A1014" s="6">
        <v>44995</v>
      </c>
      <c r="B1014" s="7" t="s">
        <v>9</v>
      </c>
      <c r="C1014" s="8" t="s">
        <v>10</v>
      </c>
      <c r="D1014" s="8" t="s">
        <v>11</v>
      </c>
      <c r="E1014" s="9"/>
      <c r="F1014" s="14">
        <f t="shared" si="76"/>
        <v>8.6666666666666679</v>
      </c>
      <c r="H1014" s="91"/>
    </row>
    <row r="1015" spans="1:8" s="5" customFormat="1" ht="12" x14ac:dyDescent="0.15">
      <c r="A1015" s="11">
        <v>44996</v>
      </c>
      <c r="B1015" s="7" t="s">
        <v>8</v>
      </c>
      <c r="C1015" s="8"/>
      <c r="D1015" s="8"/>
      <c r="E1015" s="9"/>
      <c r="F1015" s="14" t="str">
        <f t="shared" si="76"/>
        <v/>
      </c>
      <c r="H1015" s="91"/>
    </row>
    <row r="1016" spans="1:8" s="5" customFormat="1" ht="12" x14ac:dyDescent="0.15">
      <c r="A1016" s="34">
        <v>44997</v>
      </c>
      <c r="B1016" s="35" t="s">
        <v>8</v>
      </c>
      <c r="C1016" s="28"/>
      <c r="D1016" s="8"/>
      <c r="E1016" s="9"/>
      <c r="F1016" s="14" t="str">
        <f t="shared" si="76"/>
        <v/>
      </c>
      <c r="G1016" s="29"/>
      <c r="H1016" s="92"/>
    </row>
    <row r="1017" spans="1:8" s="5" customFormat="1" ht="12" x14ac:dyDescent="0.15">
      <c r="A1017" s="36">
        <v>44998</v>
      </c>
      <c r="B1017" s="31" t="s">
        <v>9</v>
      </c>
      <c r="C1017" s="32" t="s">
        <v>10</v>
      </c>
      <c r="D1017" s="8" t="s">
        <v>11</v>
      </c>
      <c r="E1017" s="9"/>
      <c r="F1017" s="14">
        <f t="shared" si="76"/>
        <v>8.6666666666666679</v>
      </c>
      <c r="G1017" s="33"/>
      <c r="H1017" s="90">
        <f t="shared" si="79"/>
        <v>43.333333333333343</v>
      </c>
    </row>
    <row r="1018" spans="1:8" s="5" customFormat="1" ht="12" x14ac:dyDescent="0.15">
      <c r="A1018" s="6">
        <v>44999</v>
      </c>
      <c r="B1018" s="7" t="s">
        <v>9</v>
      </c>
      <c r="C1018" s="8" t="s">
        <v>10</v>
      </c>
      <c r="D1018" s="8" t="s">
        <v>11</v>
      </c>
      <c r="E1018" s="9"/>
      <c r="F1018" s="14">
        <f t="shared" si="76"/>
        <v>8.6666666666666679</v>
      </c>
      <c r="H1018" s="91"/>
    </row>
    <row r="1019" spans="1:8" s="5" customFormat="1" ht="12" x14ac:dyDescent="0.15">
      <c r="A1019" s="11">
        <v>45000</v>
      </c>
      <c r="B1019" s="7" t="s">
        <v>12</v>
      </c>
      <c r="C1019" s="8" t="s">
        <v>10</v>
      </c>
      <c r="D1019" s="8" t="s">
        <v>11</v>
      </c>
      <c r="E1019" s="9"/>
      <c r="F1019" s="14">
        <f t="shared" si="76"/>
        <v>8.6666666666666679</v>
      </c>
      <c r="H1019" s="91"/>
    </row>
    <row r="1020" spans="1:8" s="5" customFormat="1" ht="12" x14ac:dyDescent="0.15">
      <c r="A1020" s="6">
        <v>45001</v>
      </c>
      <c r="B1020" s="7" t="s">
        <v>12</v>
      </c>
      <c r="C1020" s="8" t="s">
        <v>10</v>
      </c>
      <c r="D1020" s="8" t="s">
        <v>11</v>
      </c>
      <c r="E1020" s="9"/>
      <c r="F1020" s="14">
        <f t="shared" si="76"/>
        <v>8.6666666666666679</v>
      </c>
      <c r="H1020" s="91"/>
    </row>
    <row r="1021" spans="1:8" s="5" customFormat="1" ht="12" x14ac:dyDescent="0.15">
      <c r="A1021" s="11">
        <v>45002</v>
      </c>
      <c r="B1021" s="7" t="s">
        <v>9</v>
      </c>
      <c r="C1021" s="8" t="s">
        <v>10</v>
      </c>
      <c r="D1021" s="8" t="s">
        <v>11</v>
      </c>
      <c r="E1021" s="9"/>
      <c r="F1021" s="14">
        <f t="shared" si="76"/>
        <v>8.6666666666666679</v>
      </c>
      <c r="H1021" s="91"/>
    </row>
    <row r="1022" spans="1:8" s="5" customFormat="1" ht="12" x14ac:dyDescent="0.15">
      <c r="A1022" s="6">
        <v>45003</v>
      </c>
      <c r="B1022" s="7" t="s">
        <v>8</v>
      </c>
      <c r="C1022" s="8"/>
      <c r="D1022" s="8"/>
      <c r="E1022" s="9"/>
      <c r="F1022" s="14" t="str">
        <f t="shared" si="76"/>
        <v/>
      </c>
      <c r="H1022" s="91"/>
    </row>
    <row r="1023" spans="1:8" s="5" customFormat="1" ht="12" x14ac:dyDescent="0.15">
      <c r="A1023" s="43">
        <v>45004</v>
      </c>
      <c r="B1023" s="35" t="s">
        <v>8</v>
      </c>
      <c r="C1023" s="28"/>
      <c r="D1023" s="8"/>
      <c r="E1023" s="9"/>
      <c r="F1023" s="14" t="str">
        <f t="shared" si="76"/>
        <v/>
      </c>
      <c r="G1023" s="29"/>
      <c r="H1023" s="92"/>
    </row>
    <row r="1024" spans="1:8" s="5" customFormat="1" ht="12" x14ac:dyDescent="0.15">
      <c r="A1024" s="30">
        <v>45005</v>
      </c>
      <c r="B1024" s="31" t="s">
        <v>12</v>
      </c>
      <c r="C1024" s="32" t="s">
        <v>10</v>
      </c>
      <c r="D1024" s="8" t="s">
        <v>11</v>
      </c>
      <c r="E1024" s="9"/>
      <c r="F1024" s="14">
        <f t="shared" si="76"/>
        <v>8.6666666666666679</v>
      </c>
      <c r="G1024" s="33"/>
      <c r="H1024" s="90">
        <f t="shared" si="79"/>
        <v>43.333333333333343</v>
      </c>
    </row>
    <row r="1025" spans="1:8" s="5" customFormat="1" ht="12" x14ac:dyDescent="0.15">
      <c r="A1025" s="11">
        <v>45006</v>
      </c>
      <c r="B1025" s="7" t="s">
        <v>12</v>
      </c>
      <c r="C1025" s="8" t="s">
        <v>10</v>
      </c>
      <c r="D1025" s="8" t="s">
        <v>11</v>
      </c>
      <c r="E1025" s="9"/>
      <c r="F1025" s="14">
        <f t="shared" si="76"/>
        <v>8.6666666666666679</v>
      </c>
      <c r="H1025" s="91"/>
    </row>
    <row r="1026" spans="1:8" s="5" customFormat="1" ht="12" x14ac:dyDescent="0.15">
      <c r="A1026" s="6">
        <v>45007</v>
      </c>
      <c r="B1026" s="7" t="s">
        <v>9</v>
      </c>
      <c r="C1026" s="8" t="s">
        <v>10</v>
      </c>
      <c r="D1026" s="8" t="s">
        <v>11</v>
      </c>
      <c r="E1026" s="9"/>
      <c r="F1026" s="14">
        <f t="shared" si="76"/>
        <v>8.6666666666666679</v>
      </c>
      <c r="H1026" s="91"/>
    </row>
    <row r="1027" spans="1:8" s="5" customFormat="1" ht="12" x14ac:dyDescent="0.15">
      <c r="A1027" s="11">
        <v>45008</v>
      </c>
      <c r="B1027" s="7" t="s">
        <v>9</v>
      </c>
      <c r="C1027" s="8" t="s">
        <v>10</v>
      </c>
      <c r="D1027" s="8" t="s">
        <v>11</v>
      </c>
      <c r="E1027" s="9"/>
      <c r="F1027" s="14">
        <f t="shared" si="76"/>
        <v>8.6666666666666679</v>
      </c>
      <c r="H1027" s="91"/>
    </row>
    <row r="1028" spans="1:8" s="5" customFormat="1" ht="12" x14ac:dyDescent="0.15">
      <c r="A1028" s="6">
        <v>45009</v>
      </c>
      <c r="B1028" s="7" t="s">
        <v>9</v>
      </c>
      <c r="C1028" s="8" t="s">
        <v>10</v>
      </c>
      <c r="D1028" s="8" t="s">
        <v>11</v>
      </c>
      <c r="E1028" s="9"/>
      <c r="F1028" s="14">
        <f t="shared" si="76"/>
        <v>8.6666666666666679</v>
      </c>
      <c r="H1028" s="91"/>
    </row>
    <row r="1029" spans="1:8" s="5" customFormat="1" ht="12" x14ac:dyDescent="0.15">
      <c r="A1029" s="11">
        <v>45010</v>
      </c>
      <c r="B1029" s="7" t="s">
        <v>8</v>
      </c>
      <c r="C1029" s="8"/>
      <c r="D1029" s="8"/>
      <c r="E1029" s="9"/>
      <c r="F1029" s="14" t="str">
        <f t="shared" ref="F1029:F1092" si="80">IF(C1029="", "", IF(D1029="", "", (D1029-C1029)*24 - E1029))</f>
        <v/>
      </c>
      <c r="H1029" s="91"/>
    </row>
    <row r="1030" spans="1:8" s="5" customFormat="1" ht="12" x14ac:dyDescent="0.15">
      <c r="A1030" s="34">
        <v>45011</v>
      </c>
      <c r="B1030" s="35" t="s">
        <v>8</v>
      </c>
      <c r="C1030" s="28"/>
      <c r="D1030" s="8"/>
      <c r="E1030" s="9"/>
      <c r="F1030" s="14" t="str">
        <f t="shared" si="80"/>
        <v/>
      </c>
      <c r="G1030" s="29"/>
      <c r="H1030" s="92"/>
    </row>
    <row r="1031" spans="1:8" s="5" customFormat="1" ht="12" x14ac:dyDescent="0.15">
      <c r="A1031" s="36">
        <v>45012</v>
      </c>
      <c r="B1031" s="31" t="s">
        <v>14</v>
      </c>
      <c r="C1031" s="32"/>
      <c r="D1031" s="8"/>
      <c r="E1031" s="9"/>
      <c r="F1031" s="14" t="str">
        <f t="shared" si="80"/>
        <v/>
      </c>
      <c r="G1031" s="33"/>
      <c r="H1031" s="90">
        <f t="shared" si="79"/>
        <v>34.666666666666671</v>
      </c>
    </row>
    <row r="1032" spans="1:8" s="5" customFormat="1" ht="12" x14ac:dyDescent="0.15">
      <c r="A1032" s="6">
        <v>45013</v>
      </c>
      <c r="B1032" s="7" t="s">
        <v>9</v>
      </c>
      <c r="C1032" s="8" t="s">
        <v>10</v>
      </c>
      <c r="D1032" s="8" t="s">
        <v>11</v>
      </c>
      <c r="E1032" s="9"/>
      <c r="F1032" s="14">
        <f t="shared" si="80"/>
        <v>8.6666666666666679</v>
      </c>
      <c r="H1032" s="91"/>
    </row>
    <row r="1033" spans="1:8" s="5" customFormat="1" ht="12" x14ac:dyDescent="0.15">
      <c r="A1033" s="11">
        <v>45014</v>
      </c>
      <c r="B1033" s="7" t="s">
        <v>9</v>
      </c>
      <c r="C1033" s="8" t="s">
        <v>10</v>
      </c>
      <c r="D1033" s="8" t="s">
        <v>11</v>
      </c>
      <c r="E1033" s="9"/>
      <c r="F1033" s="14">
        <f t="shared" si="80"/>
        <v>8.6666666666666679</v>
      </c>
      <c r="H1033" s="91"/>
    </row>
    <row r="1034" spans="1:8" s="5" customFormat="1" ht="12" x14ac:dyDescent="0.15">
      <c r="A1034" s="6">
        <v>45015</v>
      </c>
      <c r="B1034" s="7" t="s">
        <v>9</v>
      </c>
      <c r="C1034" s="8" t="s">
        <v>10</v>
      </c>
      <c r="D1034" s="8" t="s">
        <v>11</v>
      </c>
      <c r="E1034" s="9"/>
      <c r="F1034" s="14">
        <f t="shared" si="80"/>
        <v>8.6666666666666679</v>
      </c>
      <c r="H1034" s="91"/>
    </row>
    <row r="1035" spans="1:8" s="5" customFormat="1" ht="12" x14ac:dyDescent="0.15">
      <c r="A1035" s="11">
        <v>45016</v>
      </c>
      <c r="B1035" s="7" t="s">
        <v>9</v>
      </c>
      <c r="C1035" s="8" t="s">
        <v>10</v>
      </c>
      <c r="D1035" s="8" t="s">
        <v>11</v>
      </c>
      <c r="E1035" s="9"/>
      <c r="F1035" s="14">
        <f t="shared" si="80"/>
        <v>8.6666666666666679</v>
      </c>
      <c r="H1035" s="91"/>
    </row>
    <row r="1036" spans="1:8" s="5" customFormat="1" ht="12" x14ac:dyDescent="0.15">
      <c r="A1036" s="6">
        <v>45017</v>
      </c>
      <c r="B1036" s="7" t="s">
        <v>8</v>
      </c>
      <c r="C1036" s="8"/>
      <c r="D1036" s="8"/>
      <c r="E1036" s="9"/>
      <c r="F1036" s="14" t="str">
        <f t="shared" si="80"/>
        <v/>
      </c>
      <c r="H1036" s="91"/>
    </row>
    <row r="1037" spans="1:8" s="5" customFormat="1" ht="12" x14ac:dyDescent="0.15">
      <c r="A1037" s="11">
        <v>45018</v>
      </c>
      <c r="B1037" s="7" t="s">
        <v>8</v>
      </c>
      <c r="C1037" s="8"/>
      <c r="D1037" s="8"/>
      <c r="E1037" s="9"/>
      <c r="F1037" s="14" t="str">
        <f t="shared" si="80"/>
        <v/>
      </c>
      <c r="H1037" s="91"/>
    </row>
    <row r="1038" spans="1:8" s="5" customFormat="1" ht="12" x14ac:dyDescent="0.15">
      <c r="A1038" s="30">
        <v>45019</v>
      </c>
      <c r="B1038" s="31" t="s">
        <v>8</v>
      </c>
      <c r="C1038" s="32"/>
      <c r="D1038" s="8"/>
      <c r="E1038" s="9"/>
      <c r="F1038" s="14" t="str">
        <f t="shared" si="80"/>
        <v/>
      </c>
      <c r="G1038" s="33"/>
      <c r="H1038" s="90">
        <f t="shared" ref="H1038:H1059" si="81">SUM(F1038:G1044)</f>
        <v>0</v>
      </c>
    </row>
    <row r="1039" spans="1:8" s="5" customFormat="1" ht="12" x14ac:dyDescent="0.15">
      <c r="A1039" s="11">
        <v>45020</v>
      </c>
      <c r="B1039" s="7" t="s">
        <v>8</v>
      </c>
      <c r="C1039" s="8"/>
      <c r="D1039" s="8"/>
      <c r="E1039" s="9"/>
      <c r="F1039" s="14" t="str">
        <f t="shared" si="80"/>
        <v/>
      </c>
      <c r="H1039" s="91"/>
    </row>
    <row r="1040" spans="1:8" s="5" customFormat="1" ht="12" x14ac:dyDescent="0.15">
      <c r="A1040" s="6">
        <v>45021</v>
      </c>
      <c r="B1040" s="7" t="s">
        <v>8</v>
      </c>
      <c r="C1040" s="8"/>
      <c r="D1040" s="8"/>
      <c r="E1040" s="9"/>
      <c r="F1040" s="14" t="str">
        <f t="shared" si="80"/>
        <v/>
      </c>
      <c r="H1040" s="91"/>
    </row>
    <row r="1041" spans="1:8" s="5" customFormat="1" ht="12" x14ac:dyDescent="0.15">
      <c r="A1041" s="11">
        <v>45022</v>
      </c>
      <c r="B1041" s="7" t="s">
        <v>8</v>
      </c>
      <c r="C1041" s="8"/>
      <c r="D1041" s="8"/>
      <c r="E1041" s="9"/>
      <c r="F1041" s="14" t="str">
        <f t="shared" si="80"/>
        <v/>
      </c>
      <c r="H1041" s="91"/>
    </row>
    <row r="1042" spans="1:8" s="5" customFormat="1" ht="12" x14ac:dyDescent="0.15">
      <c r="A1042" s="6">
        <v>45023</v>
      </c>
      <c r="B1042" s="7" t="s">
        <v>13</v>
      </c>
      <c r="C1042" s="8"/>
      <c r="D1042" s="8"/>
      <c r="E1042" s="9"/>
      <c r="F1042" s="14" t="str">
        <f t="shared" si="80"/>
        <v/>
      </c>
      <c r="H1042" s="91"/>
    </row>
    <row r="1043" spans="1:8" s="5" customFormat="1" ht="12" x14ac:dyDescent="0.15">
      <c r="A1043" s="11">
        <v>45024</v>
      </c>
      <c r="B1043" s="7" t="s">
        <v>13</v>
      </c>
      <c r="C1043" s="8"/>
      <c r="D1043" s="8"/>
      <c r="E1043" s="9"/>
      <c r="F1043" s="14" t="str">
        <f t="shared" si="80"/>
        <v/>
      </c>
      <c r="H1043" s="91"/>
    </row>
    <row r="1044" spans="1:8" s="5" customFormat="1" ht="12" x14ac:dyDescent="0.15">
      <c r="A1044" s="34">
        <v>45025</v>
      </c>
      <c r="B1044" s="35" t="s">
        <v>13</v>
      </c>
      <c r="C1044" s="28"/>
      <c r="D1044" s="8"/>
      <c r="E1044" s="9"/>
      <c r="F1044" s="14" t="str">
        <f t="shared" si="80"/>
        <v/>
      </c>
      <c r="G1044" s="29"/>
      <c r="H1044" s="92"/>
    </row>
    <row r="1045" spans="1:8" s="5" customFormat="1" ht="12" x14ac:dyDescent="0.15">
      <c r="A1045" s="36">
        <v>45026</v>
      </c>
      <c r="B1045" s="31" t="s">
        <v>13</v>
      </c>
      <c r="C1045" s="32"/>
      <c r="D1045" s="8"/>
      <c r="E1045" s="9"/>
      <c r="F1045" s="14" t="str">
        <f t="shared" si="80"/>
        <v/>
      </c>
      <c r="G1045" s="33"/>
      <c r="H1045" s="90">
        <f t="shared" si="81"/>
        <v>0</v>
      </c>
    </row>
    <row r="1046" spans="1:8" s="5" customFormat="1" ht="12" x14ac:dyDescent="0.15">
      <c r="A1046" s="6">
        <v>45027</v>
      </c>
      <c r="B1046" s="7" t="s">
        <v>8</v>
      </c>
      <c r="C1046" s="8"/>
      <c r="D1046" s="8"/>
      <c r="E1046" s="9"/>
      <c r="F1046" s="14" t="str">
        <f t="shared" si="80"/>
        <v/>
      </c>
      <c r="H1046" s="91"/>
    </row>
    <row r="1047" spans="1:8" s="5" customFormat="1" ht="12" x14ac:dyDescent="0.15">
      <c r="A1047" s="11">
        <v>45028</v>
      </c>
      <c r="B1047" s="7" t="s">
        <v>8</v>
      </c>
      <c r="C1047" s="8"/>
      <c r="D1047" s="8"/>
      <c r="E1047" s="9"/>
      <c r="F1047" s="14" t="str">
        <f t="shared" si="80"/>
        <v/>
      </c>
      <c r="H1047" s="91"/>
    </row>
    <row r="1048" spans="1:8" s="5" customFormat="1" ht="12" x14ac:dyDescent="0.15">
      <c r="A1048" s="6">
        <v>45029</v>
      </c>
      <c r="B1048" s="7" t="s">
        <v>8</v>
      </c>
      <c r="C1048" s="8"/>
      <c r="D1048" s="8"/>
      <c r="E1048" s="9"/>
      <c r="F1048" s="14" t="str">
        <f t="shared" si="80"/>
        <v/>
      </c>
      <c r="H1048" s="91"/>
    </row>
    <row r="1049" spans="1:8" s="5" customFormat="1" ht="12" x14ac:dyDescent="0.15">
      <c r="A1049" s="11">
        <v>45030</v>
      </c>
      <c r="B1049" s="7" t="s">
        <v>8</v>
      </c>
      <c r="C1049" s="8"/>
      <c r="D1049" s="8"/>
      <c r="E1049" s="9"/>
      <c r="F1049" s="14" t="str">
        <f t="shared" si="80"/>
        <v/>
      </c>
      <c r="H1049" s="91"/>
    </row>
    <row r="1050" spans="1:8" s="5" customFormat="1" ht="12" x14ac:dyDescent="0.15">
      <c r="A1050" s="6">
        <v>45031</v>
      </c>
      <c r="B1050" s="7" t="s">
        <v>8</v>
      </c>
      <c r="C1050" s="8"/>
      <c r="D1050" s="8"/>
      <c r="E1050" s="9"/>
      <c r="F1050" s="14" t="str">
        <f t="shared" si="80"/>
        <v/>
      </c>
      <c r="H1050" s="91"/>
    </row>
    <row r="1051" spans="1:8" s="5" customFormat="1" ht="12" x14ac:dyDescent="0.15">
      <c r="A1051" s="43">
        <v>45032</v>
      </c>
      <c r="B1051" s="35" t="s">
        <v>8</v>
      </c>
      <c r="C1051" s="28"/>
      <c r="D1051" s="8"/>
      <c r="E1051" s="9"/>
      <c r="F1051" s="14" t="str">
        <f t="shared" si="80"/>
        <v/>
      </c>
      <c r="G1051" s="29"/>
      <c r="H1051" s="92"/>
    </row>
    <row r="1052" spans="1:8" s="5" customFormat="1" ht="12" x14ac:dyDescent="0.15">
      <c r="A1052" s="30">
        <v>45033</v>
      </c>
      <c r="B1052" s="31" t="s">
        <v>8</v>
      </c>
      <c r="C1052" s="32"/>
      <c r="D1052" s="8"/>
      <c r="E1052" s="9"/>
      <c r="F1052" s="14" t="str">
        <f t="shared" si="80"/>
        <v/>
      </c>
      <c r="G1052" s="33"/>
      <c r="H1052" s="90">
        <f t="shared" si="81"/>
        <v>0</v>
      </c>
    </row>
    <row r="1053" spans="1:8" s="5" customFormat="1" ht="12" x14ac:dyDescent="0.15">
      <c r="A1053" s="11">
        <v>45034</v>
      </c>
      <c r="B1053" s="7" t="s">
        <v>8</v>
      </c>
      <c r="C1053" s="8"/>
      <c r="D1053" s="8"/>
      <c r="E1053" s="9"/>
      <c r="F1053" s="14" t="str">
        <f t="shared" si="80"/>
        <v/>
      </c>
      <c r="H1053" s="91"/>
    </row>
    <row r="1054" spans="1:8" s="5" customFormat="1" ht="12" x14ac:dyDescent="0.15">
      <c r="A1054" s="6">
        <v>45035</v>
      </c>
      <c r="B1054" s="7" t="s">
        <v>8</v>
      </c>
      <c r="C1054" s="8"/>
      <c r="D1054" s="8"/>
      <c r="E1054" s="9"/>
      <c r="F1054" s="14" t="str">
        <f t="shared" si="80"/>
        <v/>
      </c>
      <c r="H1054" s="91"/>
    </row>
    <row r="1055" spans="1:8" s="5" customFormat="1" ht="12" x14ac:dyDescent="0.15">
      <c r="A1055" s="11">
        <v>45036</v>
      </c>
      <c r="B1055" s="7" t="s">
        <v>8</v>
      </c>
      <c r="C1055" s="8"/>
      <c r="D1055" s="8"/>
      <c r="E1055" s="9"/>
      <c r="F1055" s="14" t="str">
        <f t="shared" si="80"/>
        <v/>
      </c>
      <c r="H1055" s="91"/>
    </row>
    <row r="1056" spans="1:8" s="5" customFormat="1" ht="12" x14ac:dyDescent="0.15">
      <c r="A1056" s="6">
        <v>45037</v>
      </c>
      <c r="B1056" s="7" t="s">
        <v>8</v>
      </c>
      <c r="C1056" s="8"/>
      <c r="D1056" s="8"/>
      <c r="E1056" s="9"/>
      <c r="F1056" s="14" t="str">
        <f t="shared" si="80"/>
        <v/>
      </c>
      <c r="H1056" s="91"/>
    </row>
    <row r="1057" spans="1:8" s="5" customFormat="1" ht="12" x14ac:dyDescent="0.15">
      <c r="A1057" s="11">
        <v>45038</v>
      </c>
      <c r="B1057" s="7" t="s">
        <v>8</v>
      </c>
      <c r="C1057" s="8"/>
      <c r="D1057" s="8"/>
      <c r="E1057" s="9"/>
      <c r="F1057" s="14" t="str">
        <f t="shared" si="80"/>
        <v/>
      </c>
      <c r="H1057" s="91"/>
    </row>
    <row r="1058" spans="1:8" s="5" customFormat="1" ht="12" x14ac:dyDescent="0.15">
      <c r="A1058" s="34">
        <v>45039</v>
      </c>
      <c r="B1058" s="35" t="s">
        <v>8</v>
      </c>
      <c r="C1058" s="28"/>
      <c r="D1058" s="8"/>
      <c r="E1058" s="9"/>
      <c r="F1058" s="14" t="str">
        <f t="shared" si="80"/>
        <v/>
      </c>
      <c r="G1058" s="29"/>
      <c r="H1058" s="92"/>
    </row>
    <row r="1059" spans="1:8" s="5" customFormat="1" ht="12" x14ac:dyDescent="0.15">
      <c r="A1059" s="36">
        <v>45040</v>
      </c>
      <c r="B1059" s="31" t="s">
        <v>8</v>
      </c>
      <c r="C1059" s="32"/>
      <c r="D1059" s="8"/>
      <c r="E1059" s="9"/>
      <c r="F1059" s="14" t="str">
        <f t="shared" si="80"/>
        <v/>
      </c>
      <c r="G1059" s="33"/>
      <c r="H1059" s="90">
        <f t="shared" si="81"/>
        <v>0</v>
      </c>
    </row>
    <row r="1060" spans="1:8" s="5" customFormat="1" ht="12" x14ac:dyDescent="0.15">
      <c r="A1060" s="6">
        <v>45041</v>
      </c>
      <c r="B1060" s="7" t="s">
        <v>13</v>
      </c>
      <c r="C1060" s="8"/>
      <c r="D1060" s="8"/>
      <c r="E1060" s="9"/>
      <c r="F1060" s="14" t="str">
        <f t="shared" si="80"/>
        <v/>
      </c>
      <c r="H1060" s="91"/>
    </row>
    <row r="1061" spans="1:8" s="5" customFormat="1" ht="12" x14ac:dyDescent="0.15">
      <c r="A1061" s="11">
        <v>45042</v>
      </c>
      <c r="B1061" s="7" t="s">
        <v>8</v>
      </c>
      <c r="C1061" s="8"/>
      <c r="D1061" s="8"/>
      <c r="E1061" s="9"/>
      <c r="F1061" s="14" t="str">
        <f t="shared" si="80"/>
        <v/>
      </c>
      <c r="H1061" s="91"/>
    </row>
    <row r="1062" spans="1:8" s="5" customFormat="1" ht="12" x14ac:dyDescent="0.15">
      <c r="A1062" s="6">
        <v>45043</v>
      </c>
      <c r="B1062" s="7" t="s">
        <v>8</v>
      </c>
      <c r="C1062" s="8"/>
      <c r="D1062" s="8"/>
      <c r="E1062" s="9"/>
      <c r="F1062" s="14" t="str">
        <f t="shared" si="80"/>
        <v/>
      </c>
      <c r="H1062" s="91"/>
    </row>
    <row r="1063" spans="1:8" s="5" customFormat="1" ht="12" x14ac:dyDescent="0.15">
      <c r="A1063" s="11">
        <v>45044</v>
      </c>
      <c r="B1063" s="7" t="s">
        <v>8</v>
      </c>
      <c r="C1063" s="8"/>
      <c r="D1063" s="8"/>
      <c r="E1063" s="9"/>
      <c r="F1063" s="14" t="str">
        <f t="shared" si="80"/>
        <v/>
      </c>
      <c r="H1063" s="91"/>
    </row>
    <row r="1064" spans="1:8" s="5" customFormat="1" ht="12" x14ac:dyDescent="0.15">
      <c r="A1064" s="6">
        <v>45045</v>
      </c>
      <c r="B1064" s="7" t="s">
        <v>8</v>
      </c>
      <c r="C1064" s="8"/>
      <c r="D1064" s="8"/>
      <c r="E1064" s="9"/>
      <c r="F1064" s="14" t="str">
        <f t="shared" si="80"/>
        <v/>
      </c>
      <c r="H1064" s="91"/>
    </row>
    <row r="1065" spans="1:8" s="5" customFormat="1" ht="12" x14ac:dyDescent="0.15">
      <c r="A1065" s="11">
        <v>45046</v>
      </c>
      <c r="B1065" s="7" t="s">
        <v>8</v>
      </c>
      <c r="C1065" s="8"/>
      <c r="D1065" s="8"/>
      <c r="E1065" s="9"/>
      <c r="F1065" s="14" t="str">
        <f t="shared" si="80"/>
        <v/>
      </c>
      <c r="H1065" s="91"/>
    </row>
    <row r="1066" spans="1:8" s="5" customFormat="1" ht="12" x14ac:dyDescent="0.15">
      <c r="A1066" s="30">
        <v>45047</v>
      </c>
      <c r="B1066" s="31" t="s">
        <v>13</v>
      </c>
      <c r="C1066" s="32"/>
      <c r="D1066" s="8"/>
      <c r="E1066" s="9"/>
      <c r="F1066" s="14" t="str">
        <f t="shared" si="80"/>
        <v/>
      </c>
      <c r="G1066" s="33"/>
      <c r="H1066" s="90">
        <f t="shared" ref="H1066:H1080" si="82">SUM(F1066:G1072)</f>
        <v>51.333333333333343</v>
      </c>
    </row>
    <row r="1067" spans="1:8" s="5" customFormat="1" ht="12" x14ac:dyDescent="0.15">
      <c r="A1067" s="11">
        <v>45048</v>
      </c>
      <c r="B1067" s="7" t="s">
        <v>12</v>
      </c>
      <c r="C1067" s="8" t="s">
        <v>10</v>
      </c>
      <c r="D1067" s="8" t="s">
        <v>11</v>
      </c>
      <c r="E1067" s="9"/>
      <c r="F1067" s="14">
        <f t="shared" si="80"/>
        <v>8.6666666666666679</v>
      </c>
      <c r="H1067" s="91"/>
    </row>
    <row r="1068" spans="1:8" s="5" customFormat="1" ht="12" x14ac:dyDescent="0.15">
      <c r="A1068" s="6">
        <v>45049</v>
      </c>
      <c r="B1068" s="7" t="s">
        <v>12</v>
      </c>
      <c r="C1068" s="8" t="s">
        <v>10</v>
      </c>
      <c r="D1068" s="8" t="s">
        <v>11</v>
      </c>
      <c r="E1068" s="9"/>
      <c r="F1068" s="14">
        <f t="shared" si="80"/>
        <v>8.6666666666666679</v>
      </c>
      <c r="H1068" s="91"/>
    </row>
    <row r="1069" spans="1:8" s="5" customFormat="1" ht="12" x14ac:dyDescent="0.15">
      <c r="A1069" s="11">
        <v>45050</v>
      </c>
      <c r="B1069" s="7" t="s">
        <v>9</v>
      </c>
      <c r="C1069" s="8" t="s">
        <v>10</v>
      </c>
      <c r="D1069" s="8" t="s">
        <v>11</v>
      </c>
      <c r="E1069" s="9"/>
      <c r="F1069" s="14">
        <f t="shared" si="80"/>
        <v>8.6666666666666679</v>
      </c>
      <c r="H1069" s="91"/>
    </row>
    <row r="1070" spans="1:8" s="5" customFormat="1" ht="12" x14ac:dyDescent="0.15">
      <c r="A1070" s="6">
        <v>45051</v>
      </c>
      <c r="B1070" s="7" t="s">
        <v>9</v>
      </c>
      <c r="C1070" s="8" t="s">
        <v>10</v>
      </c>
      <c r="D1070" s="8" t="s">
        <v>11</v>
      </c>
      <c r="E1070" s="9"/>
      <c r="F1070" s="14">
        <f t="shared" si="80"/>
        <v>8.6666666666666679</v>
      </c>
      <c r="H1070" s="91"/>
    </row>
    <row r="1071" spans="1:8" s="5" customFormat="1" ht="12" x14ac:dyDescent="0.15">
      <c r="A1071" s="11">
        <v>45052</v>
      </c>
      <c r="B1071" s="7" t="s">
        <v>14</v>
      </c>
      <c r="C1071" s="8"/>
      <c r="D1071" s="8"/>
      <c r="E1071" s="9"/>
      <c r="F1071" s="14" t="str">
        <f t="shared" si="80"/>
        <v/>
      </c>
      <c r="G1071" s="50">
        <v>8</v>
      </c>
      <c r="H1071" s="91"/>
    </row>
    <row r="1072" spans="1:8" s="5" customFormat="1" ht="12" x14ac:dyDescent="0.15">
      <c r="A1072" s="34">
        <v>45053</v>
      </c>
      <c r="B1072" s="35" t="s">
        <v>15</v>
      </c>
      <c r="C1072" s="28" t="s">
        <v>10</v>
      </c>
      <c r="D1072" s="8" t="s">
        <v>11</v>
      </c>
      <c r="E1072" s="9"/>
      <c r="F1072" s="14">
        <f t="shared" si="80"/>
        <v>8.6666666666666679</v>
      </c>
      <c r="G1072" s="29"/>
      <c r="H1072" s="92"/>
    </row>
    <row r="1073" spans="1:8" s="5" customFormat="1" ht="12" x14ac:dyDescent="0.15">
      <c r="A1073" s="36">
        <v>45054</v>
      </c>
      <c r="B1073" s="31" t="s">
        <v>15</v>
      </c>
      <c r="C1073" s="32" t="s">
        <v>10</v>
      </c>
      <c r="D1073" s="8" t="s">
        <v>11</v>
      </c>
      <c r="E1073" s="9"/>
      <c r="F1073" s="14">
        <f t="shared" si="80"/>
        <v>8.6666666666666679</v>
      </c>
      <c r="G1073" s="33"/>
      <c r="H1073" s="90">
        <f t="shared" si="82"/>
        <v>68.666666666666686</v>
      </c>
    </row>
    <row r="1074" spans="1:8" s="5" customFormat="1" ht="12" x14ac:dyDescent="0.15">
      <c r="A1074" s="6">
        <v>45055</v>
      </c>
      <c r="B1074" s="7" t="s">
        <v>12</v>
      </c>
      <c r="C1074" s="8" t="s">
        <v>10</v>
      </c>
      <c r="D1074" s="8" t="s">
        <v>11</v>
      </c>
      <c r="E1074" s="9"/>
      <c r="F1074" s="14">
        <f t="shared" si="80"/>
        <v>8.6666666666666679</v>
      </c>
      <c r="G1074" s="50">
        <v>1</v>
      </c>
      <c r="H1074" s="91"/>
    </row>
    <row r="1075" spans="1:8" s="5" customFormat="1" ht="12" x14ac:dyDescent="0.15">
      <c r="A1075" s="11">
        <v>45056</v>
      </c>
      <c r="B1075" s="7" t="s">
        <v>12</v>
      </c>
      <c r="C1075" s="8" t="s">
        <v>10</v>
      </c>
      <c r="D1075" s="8" t="s">
        <v>11</v>
      </c>
      <c r="E1075" s="9"/>
      <c r="F1075" s="14">
        <f t="shared" si="80"/>
        <v>8.6666666666666679</v>
      </c>
      <c r="G1075" s="50">
        <v>1</v>
      </c>
      <c r="H1075" s="91"/>
    </row>
    <row r="1076" spans="1:8" s="5" customFormat="1" ht="12" x14ac:dyDescent="0.15">
      <c r="A1076" s="6">
        <v>45057</v>
      </c>
      <c r="B1076" s="7" t="s">
        <v>9</v>
      </c>
      <c r="C1076" s="8" t="s">
        <v>10</v>
      </c>
      <c r="D1076" s="8" t="s">
        <v>11</v>
      </c>
      <c r="E1076" s="9"/>
      <c r="F1076" s="14">
        <f t="shared" si="80"/>
        <v>8.6666666666666679</v>
      </c>
      <c r="G1076" s="50">
        <v>2</v>
      </c>
      <c r="H1076" s="91"/>
    </row>
    <row r="1077" spans="1:8" s="5" customFormat="1" ht="12" x14ac:dyDescent="0.15">
      <c r="A1077" s="11">
        <v>45058</v>
      </c>
      <c r="B1077" s="7" t="s">
        <v>9</v>
      </c>
      <c r="C1077" s="8" t="s">
        <v>10</v>
      </c>
      <c r="D1077" s="8" t="s">
        <v>11</v>
      </c>
      <c r="E1077" s="9"/>
      <c r="F1077" s="14">
        <f t="shared" si="80"/>
        <v>8.6666666666666679</v>
      </c>
      <c r="G1077" s="50">
        <v>1</v>
      </c>
      <c r="H1077" s="91"/>
    </row>
    <row r="1078" spans="1:8" s="5" customFormat="1" ht="12" x14ac:dyDescent="0.15">
      <c r="A1078" s="6">
        <v>45059</v>
      </c>
      <c r="B1078" s="7" t="s">
        <v>15</v>
      </c>
      <c r="C1078" s="8" t="s">
        <v>10</v>
      </c>
      <c r="D1078" s="8" t="s">
        <v>11</v>
      </c>
      <c r="E1078" s="9"/>
      <c r="F1078" s="14">
        <f t="shared" si="80"/>
        <v>8.6666666666666679</v>
      </c>
      <c r="G1078" s="50">
        <v>1</v>
      </c>
      <c r="H1078" s="91"/>
    </row>
    <row r="1079" spans="1:8" s="5" customFormat="1" ht="12" x14ac:dyDescent="0.15">
      <c r="A1079" s="43">
        <v>45060</v>
      </c>
      <c r="B1079" s="35" t="s">
        <v>15</v>
      </c>
      <c r="C1079" s="28" t="s">
        <v>10</v>
      </c>
      <c r="D1079" s="8" t="s">
        <v>11</v>
      </c>
      <c r="E1079" s="9"/>
      <c r="F1079" s="14">
        <f t="shared" si="80"/>
        <v>8.6666666666666679</v>
      </c>
      <c r="G1079" s="51">
        <v>2</v>
      </c>
      <c r="H1079" s="92"/>
    </row>
    <row r="1080" spans="1:8" s="5" customFormat="1" ht="12" x14ac:dyDescent="0.15">
      <c r="A1080" s="30">
        <v>45061</v>
      </c>
      <c r="B1080" s="31" t="s">
        <v>9</v>
      </c>
      <c r="C1080" s="32" t="s">
        <v>10</v>
      </c>
      <c r="D1080" s="8" t="s">
        <v>11</v>
      </c>
      <c r="E1080" s="9"/>
      <c r="F1080" s="14">
        <f t="shared" si="80"/>
        <v>8.6666666666666679</v>
      </c>
      <c r="G1080" s="33"/>
      <c r="H1080" s="90">
        <f t="shared" si="82"/>
        <v>58.000000000000014</v>
      </c>
    </row>
    <row r="1081" spans="1:8" s="5" customFormat="1" ht="12" x14ac:dyDescent="0.15">
      <c r="A1081" s="11">
        <v>45062</v>
      </c>
      <c r="B1081" s="7" t="s">
        <v>9</v>
      </c>
      <c r="C1081" s="8" t="s">
        <v>10</v>
      </c>
      <c r="D1081" s="8" t="s">
        <v>11</v>
      </c>
      <c r="E1081" s="9"/>
      <c r="F1081" s="14">
        <f t="shared" si="80"/>
        <v>8.6666666666666679</v>
      </c>
      <c r="H1081" s="91"/>
    </row>
    <row r="1082" spans="1:8" s="5" customFormat="1" ht="12" x14ac:dyDescent="0.15">
      <c r="A1082" s="6">
        <v>45063</v>
      </c>
      <c r="B1082" s="7" t="s">
        <v>9</v>
      </c>
      <c r="C1082" s="8" t="s">
        <v>10</v>
      </c>
      <c r="D1082" s="8" t="s">
        <v>11</v>
      </c>
      <c r="E1082" s="9"/>
      <c r="F1082" s="14">
        <f t="shared" si="80"/>
        <v>8.6666666666666679</v>
      </c>
      <c r="G1082" s="50">
        <v>1</v>
      </c>
      <c r="H1082" s="91"/>
    </row>
    <row r="1083" spans="1:8" s="5" customFormat="1" ht="12" x14ac:dyDescent="0.15">
      <c r="A1083" s="11">
        <v>45064</v>
      </c>
      <c r="B1083" s="7" t="s">
        <v>14</v>
      </c>
      <c r="C1083" s="8"/>
      <c r="D1083" s="8"/>
      <c r="E1083" s="9"/>
      <c r="F1083" s="14" t="str">
        <f t="shared" si="80"/>
        <v/>
      </c>
      <c r="G1083" s="50">
        <v>1</v>
      </c>
      <c r="H1083" s="91"/>
    </row>
    <row r="1084" spans="1:8" s="5" customFormat="1" ht="12" x14ac:dyDescent="0.15">
      <c r="A1084" s="6">
        <v>45065</v>
      </c>
      <c r="B1084" s="7" t="s">
        <v>9</v>
      </c>
      <c r="C1084" s="8" t="s">
        <v>10</v>
      </c>
      <c r="D1084" s="8" t="s">
        <v>11</v>
      </c>
      <c r="E1084" s="9"/>
      <c r="F1084" s="14">
        <f t="shared" si="80"/>
        <v>8.6666666666666679</v>
      </c>
      <c r="H1084" s="91"/>
    </row>
    <row r="1085" spans="1:8" x14ac:dyDescent="0.25">
      <c r="A1085" s="11">
        <v>45066</v>
      </c>
      <c r="B1085" s="7" t="s">
        <v>15</v>
      </c>
      <c r="C1085" s="8" t="s">
        <v>10</v>
      </c>
      <c r="D1085" s="8" t="s">
        <v>11</v>
      </c>
      <c r="E1085" s="9"/>
      <c r="F1085" s="14">
        <f t="shared" si="80"/>
        <v>8.6666666666666679</v>
      </c>
      <c r="G1085" s="50">
        <v>2</v>
      </c>
      <c r="H1085" s="91"/>
    </row>
    <row r="1086" spans="1:8" x14ac:dyDescent="0.25">
      <c r="A1086" s="34">
        <v>45067</v>
      </c>
      <c r="B1086" s="35" t="s">
        <v>15</v>
      </c>
      <c r="C1086" s="28" t="s">
        <v>10</v>
      </c>
      <c r="D1086" s="8" t="s">
        <v>11</v>
      </c>
      <c r="E1086" s="9"/>
      <c r="F1086" s="14">
        <f t="shared" si="80"/>
        <v>8.6666666666666679</v>
      </c>
      <c r="G1086" s="51">
        <v>2</v>
      </c>
      <c r="H1086" s="92"/>
    </row>
    <row r="1087" spans="1:8" x14ac:dyDescent="0.25">
      <c r="A1087" s="25">
        <v>45068</v>
      </c>
      <c r="B1087" s="24" t="s">
        <v>14</v>
      </c>
      <c r="C1087" s="8"/>
      <c r="D1087" s="8"/>
      <c r="E1087" s="9"/>
      <c r="F1087" s="14" t="str">
        <f t="shared" si="80"/>
        <v/>
      </c>
      <c r="H1087" s="90">
        <f t="shared" ref="H1087:H1122" si="83">SUM(F1087:G1093)</f>
        <v>52.000000000000014</v>
      </c>
    </row>
    <row r="1088" spans="1:8" x14ac:dyDescent="0.25">
      <c r="A1088" s="6">
        <v>45069</v>
      </c>
      <c r="B1088" s="7" t="s">
        <v>12</v>
      </c>
      <c r="C1088" s="8" t="s">
        <v>10</v>
      </c>
      <c r="D1088" s="8" t="s">
        <v>11</v>
      </c>
      <c r="E1088" s="9"/>
      <c r="F1088" s="14">
        <f t="shared" si="80"/>
        <v>8.6666666666666679</v>
      </c>
      <c r="H1088" s="91"/>
    </row>
    <row r="1089" spans="1:8" x14ac:dyDescent="0.25">
      <c r="A1089" s="11">
        <v>45070</v>
      </c>
      <c r="B1089" s="7" t="s">
        <v>12</v>
      </c>
      <c r="C1089" s="8" t="s">
        <v>10</v>
      </c>
      <c r="D1089" s="8" t="s">
        <v>11</v>
      </c>
      <c r="E1089" s="9"/>
      <c r="F1089" s="14">
        <f t="shared" si="80"/>
        <v>8.6666666666666679</v>
      </c>
      <c r="H1089" s="91"/>
    </row>
    <row r="1090" spans="1:8" x14ac:dyDescent="0.25">
      <c r="A1090" s="6">
        <v>45071</v>
      </c>
      <c r="B1090" s="7" t="s">
        <v>9</v>
      </c>
      <c r="C1090" s="8" t="s">
        <v>10</v>
      </c>
      <c r="D1090" s="8" t="s">
        <v>11</v>
      </c>
      <c r="E1090" s="9"/>
      <c r="F1090" s="14">
        <f t="shared" si="80"/>
        <v>8.6666666666666679</v>
      </c>
      <c r="H1090" s="91"/>
    </row>
    <row r="1091" spans="1:8" x14ac:dyDescent="0.25">
      <c r="A1091" s="11">
        <v>45072</v>
      </c>
      <c r="B1091" s="7" t="s">
        <v>9</v>
      </c>
      <c r="C1091" s="8" t="s">
        <v>10</v>
      </c>
      <c r="D1091" s="8" t="s">
        <v>11</v>
      </c>
      <c r="E1091" s="9"/>
      <c r="F1091" s="14">
        <f t="shared" si="80"/>
        <v>8.6666666666666679</v>
      </c>
      <c r="H1091" s="91"/>
    </row>
    <row r="1092" spans="1:8" x14ac:dyDescent="0.25">
      <c r="A1092" s="6">
        <v>45073</v>
      </c>
      <c r="B1092" s="7" t="s">
        <v>15</v>
      </c>
      <c r="C1092" s="8" t="s">
        <v>10</v>
      </c>
      <c r="D1092" s="8" t="s">
        <v>11</v>
      </c>
      <c r="E1092" s="9"/>
      <c r="F1092" s="14">
        <f t="shared" si="80"/>
        <v>8.6666666666666679</v>
      </c>
      <c r="H1092" s="91"/>
    </row>
    <row r="1093" spans="1:8" x14ac:dyDescent="0.25">
      <c r="A1093" s="11">
        <v>45074</v>
      </c>
      <c r="B1093" s="7" t="s">
        <v>15</v>
      </c>
      <c r="C1093" s="8" t="s">
        <v>10</v>
      </c>
      <c r="D1093" s="8" t="s">
        <v>11</v>
      </c>
      <c r="E1093" s="9"/>
      <c r="F1093" s="14">
        <f t="shared" ref="F1093:F1156" si="84">IF(C1093="", "", IF(D1093="", "", (D1093-C1093)*24 - E1093))</f>
        <v>8.6666666666666679</v>
      </c>
      <c r="H1093" s="92"/>
    </row>
    <row r="1094" spans="1:8" x14ac:dyDescent="0.25">
      <c r="A1094" s="6">
        <v>45075</v>
      </c>
      <c r="B1094" s="7" t="s">
        <v>14</v>
      </c>
      <c r="C1094" s="8" t="s">
        <v>10</v>
      </c>
      <c r="D1094" s="8" t="s">
        <v>11</v>
      </c>
      <c r="E1094" s="9"/>
      <c r="F1094" s="14">
        <f t="shared" si="84"/>
        <v>8.6666666666666679</v>
      </c>
      <c r="H1094" s="90">
        <f t="shared" si="83"/>
        <v>43.333333333333343</v>
      </c>
    </row>
    <row r="1095" spans="1:8" x14ac:dyDescent="0.25">
      <c r="A1095" s="11">
        <v>45076</v>
      </c>
      <c r="B1095" s="7" t="s">
        <v>12</v>
      </c>
      <c r="C1095" s="8" t="s">
        <v>10</v>
      </c>
      <c r="D1095" s="8" t="s">
        <v>11</v>
      </c>
      <c r="E1095" s="9"/>
      <c r="F1095" s="14">
        <f t="shared" si="84"/>
        <v>8.6666666666666679</v>
      </c>
      <c r="H1095" s="91"/>
    </row>
    <row r="1096" spans="1:8" x14ac:dyDescent="0.25">
      <c r="A1096" s="6">
        <v>45077</v>
      </c>
      <c r="B1096" s="7" t="s">
        <v>12</v>
      </c>
      <c r="C1096" s="8" t="s">
        <v>10</v>
      </c>
      <c r="D1096" s="8" t="s">
        <v>11</v>
      </c>
      <c r="E1096" s="9"/>
      <c r="F1096" s="14">
        <f t="shared" si="84"/>
        <v>8.6666666666666679</v>
      </c>
      <c r="H1096" s="91"/>
    </row>
    <row r="1097" spans="1:8" x14ac:dyDescent="0.25">
      <c r="A1097" s="11">
        <v>45078</v>
      </c>
      <c r="B1097" s="7" t="s">
        <v>9</v>
      </c>
      <c r="C1097" s="8" t="s">
        <v>10</v>
      </c>
      <c r="D1097" s="8" t="s">
        <v>11</v>
      </c>
      <c r="E1097" s="9"/>
      <c r="F1097" s="14">
        <f t="shared" si="84"/>
        <v>8.6666666666666679</v>
      </c>
      <c r="H1097" s="91"/>
    </row>
    <row r="1098" spans="1:8" x14ac:dyDescent="0.25">
      <c r="A1098" s="6">
        <v>45079</v>
      </c>
      <c r="B1098" s="7" t="s">
        <v>9</v>
      </c>
      <c r="C1098" s="8" t="s">
        <v>10</v>
      </c>
      <c r="D1098" s="8" t="s">
        <v>11</v>
      </c>
      <c r="E1098" s="9"/>
      <c r="F1098" s="14">
        <f t="shared" si="84"/>
        <v>8.6666666666666679</v>
      </c>
      <c r="H1098" s="91"/>
    </row>
    <row r="1099" spans="1:8" x14ac:dyDescent="0.25">
      <c r="A1099" s="11">
        <v>45080</v>
      </c>
      <c r="B1099" s="7" t="s">
        <v>8</v>
      </c>
      <c r="C1099" s="8"/>
      <c r="D1099" s="8"/>
      <c r="E1099" s="9"/>
      <c r="F1099" s="14" t="str">
        <f t="shared" si="84"/>
        <v/>
      </c>
      <c r="H1099" s="91"/>
    </row>
    <row r="1100" spans="1:8" x14ac:dyDescent="0.25">
      <c r="A1100" s="6">
        <v>45081</v>
      </c>
      <c r="B1100" s="7" t="s">
        <v>8</v>
      </c>
      <c r="C1100" s="8"/>
      <c r="D1100" s="8"/>
      <c r="E1100" s="9"/>
      <c r="F1100" s="14" t="str">
        <f t="shared" si="84"/>
        <v/>
      </c>
      <c r="H1100" s="92"/>
    </row>
    <row r="1101" spans="1:8" x14ac:dyDescent="0.25">
      <c r="A1101" s="11">
        <v>45082</v>
      </c>
      <c r="B1101" s="7" t="s">
        <v>14</v>
      </c>
      <c r="C1101" s="8"/>
      <c r="D1101" s="8"/>
      <c r="E1101" s="9"/>
      <c r="F1101" s="14" t="str">
        <f t="shared" si="84"/>
        <v/>
      </c>
      <c r="H1101" s="90">
        <f t="shared" si="83"/>
        <v>34.666666666666671</v>
      </c>
    </row>
    <row r="1102" spans="1:8" x14ac:dyDescent="0.25">
      <c r="A1102" s="6">
        <v>45083</v>
      </c>
      <c r="B1102" s="7" t="s">
        <v>9</v>
      </c>
      <c r="C1102" s="8" t="s">
        <v>10</v>
      </c>
      <c r="D1102" s="8" t="s">
        <v>11</v>
      </c>
      <c r="E1102" s="9"/>
      <c r="F1102" s="14">
        <f t="shared" si="84"/>
        <v>8.6666666666666679</v>
      </c>
      <c r="H1102" s="91"/>
    </row>
    <row r="1103" spans="1:8" x14ac:dyDescent="0.25">
      <c r="A1103" s="11">
        <v>45084</v>
      </c>
      <c r="B1103" s="7" t="s">
        <v>9</v>
      </c>
      <c r="C1103" s="8" t="s">
        <v>10</v>
      </c>
      <c r="D1103" s="8" t="s">
        <v>11</v>
      </c>
      <c r="E1103" s="9"/>
      <c r="F1103" s="14">
        <f t="shared" si="84"/>
        <v>8.6666666666666679</v>
      </c>
      <c r="H1103" s="91"/>
    </row>
    <row r="1104" spans="1:8" x14ac:dyDescent="0.25">
      <c r="A1104" s="6">
        <v>45085</v>
      </c>
      <c r="B1104" s="7" t="s">
        <v>9</v>
      </c>
      <c r="C1104" s="8" t="s">
        <v>10</v>
      </c>
      <c r="D1104" s="8" t="s">
        <v>11</v>
      </c>
      <c r="E1104" s="9"/>
      <c r="F1104" s="14">
        <f t="shared" si="84"/>
        <v>8.6666666666666679</v>
      </c>
      <c r="H1104" s="91"/>
    </row>
    <row r="1105" spans="1:8" x14ac:dyDescent="0.25">
      <c r="A1105" s="11">
        <v>45086</v>
      </c>
      <c r="B1105" s="7" t="s">
        <v>9</v>
      </c>
      <c r="C1105" s="8" t="s">
        <v>10</v>
      </c>
      <c r="D1105" s="8" t="s">
        <v>11</v>
      </c>
      <c r="E1105" s="9"/>
      <c r="F1105" s="14">
        <f t="shared" si="84"/>
        <v>8.6666666666666679</v>
      </c>
      <c r="H1105" s="91"/>
    </row>
    <row r="1106" spans="1:8" x14ac:dyDescent="0.25">
      <c r="A1106" s="6">
        <v>45087</v>
      </c>
      <c r="B1106" s="7" t="s">
        <v>8</v>
      </c>
      <c r="C1106" s="8"/>
      <c r="D1106" s="8"/>
      <c r="E1106" s="9"/>
      <c r="F1106" s="14" t="str">
        <f t="shared" si="84"/>
        <v/>
      </c>
      <c r="H1106" s="91"/>
    </row>
    <row r="1107" spans="1:8" x14ac:dyDescent="0.25">
      <c r="A1107" s="11">
        <v>45088</v>
      </c>
      <c r="B1107" s="7" t="s">
        <v>8</v>
      </c>
      <c r="C1107" s="8"/>
      <c r="D1107" s="8"/>
      <c r="E1107" s="9"/>
      <c r="F1107" s="14" t="str">
        <f t="shared" si="84"/>
        <v/>
      </c>
      <c r="H1107" s="92"/>
    </row>
    <row r="1108" spans="1:8" x14ac:dyDescent="0.25">
      <c r="A1108" s="6">
        <v>45089</v>
      </c>
      <c r="B1108" s="7" t="s">
        <v>12</v>
      </c>
      <c r="C1108" s="8" t="s">
        <v>10</v>
      </c>
      <c r="D1108" s="8" t="s">
        <v>11</v>
      </c>
      <c r="E1108" s="9"/>
      <c r="F1108" s="14">
        <f t="shared" si="84"/>
        <v>8.6666666666666679</v>
      </c>
      <c r="H1108" s="90">
        <f t="shared" si="83"/>
        <v>43.333333333333343</v>
      </c>
    </row>
    <row r="1109" spans="1:8" x14ac:dyDescent="0.25">
      <c r="A1109" s="11">
        <v>45090</v>
      </c>
      <c r="B1109" s="7" t="s">
        <v>9</v>
      </c>
      <c r="C1109" s="8" t="s">
        <v>10</v>
      </c>
      <c r="D1109" s="8" t="s">
        <v>11</v>
      </c>
      <c r="E1109" s="9"/>
      <c r="F1109" s="14">
        <f t="shared" si="84"/>
        <v>8.6666666666666679</v>
      </c>
      <c r="H1109" s="91"/>
    </row>
    <row r="1110" spans="1:8" x14ac:dyDescent="0.25">
      <c r="A1110" s="6">
        <v>45091</v>
      </c>
      <c r="B1110" s="7" t="s">
        <v>9</v>
      </c>
      <c r="C1110" s="8" t="s">
        <v>10</v>
      </c>
      <c r="D1110" s="8" t="s">
        <v>11</v>
      </c>
      <c r="E1110" s="9"/>
      <c r="F1110" s="14">
        <f t="shared" si="84"/>
        <v>8.6666666666666679</v>
      </c>
      <c r="H1110" s="91"/>
    </row>
    <row r="1111" spans="1:8" x14ac:dyDescent="0.25">
      <c r="A1111" s="11">
        <v>45092</v>
      </c>
      <c r="B1111" s="7" t="s">
        <v>9</v>
      </c>
      <c r="C1111" s="8" t="s">
        <v>10</v>
      </c>
      <c r="D1111" s="8" t="s">
        <v>11</v>
      </c>
      <c r="E1111" s="9"/>
      <c r="F1111" s="14">
        <f t="shared" si="84"/>
        <v>8.6666666666666679</v>
      </c>
      <c r="H1111" s="91"/>
    </row>
    <row r="1112" spans="1:8" x14ac:dyDescent="0.25">
      <c r="A1112" s="6">
        <v>45093</v>
      </c>
      <c r="B1112" s="7" t="s">
        <v>12</v>
      </c>
      <c r="C1112" s="8" t="s">
        <v>10</v>
      </c>
      <c r="D1112" s="8" t="s">
        <v>11</v>
      </c>
      <c r="E1112" s="9"/>
      <c r="F1112" s="14">
        <f t="shared" si="84"/>
        <v>8.6666666666666679</v>
      </c>
      <c r="H1112" s="91"/>
    </row>
    <row r="1113" spans="1:8" x14ac:dyDescent="0.25">
      <c r="A1113" s="11">
        <v>45094</v>
      </c>
      <c r="B1113" s="7" t="s">
        <v>8</v>
      </c>
      <c r="C1113" s="8"/>
      <c r="D1113" s="8"/>
      <c r="E1113" s="9"/>
      <c r="F1113" s="14" t="str">
        <f t="shared" si="84"/>
        <v/>
      </c>
      <c r="H1113" s="91"/>
    </row>
    <row r="1114" spans="1:8" x14ac:dyDescent="0.25">
      <c r="A1114" s="6">
        <v>45095</v>
      </c>
      <c r="B1114" s="7" t="s">
        <v>8</v>
      </c>
      <c r="C1114" s="8"/>
      <c r="D1114" s="8"/>
      <c r="E1114" s="9"/>
      <c r="F1114" s="14" t="str">
        <f t="shared" si="84"/>
        <v/>
      </c>
      <c r="H1114" s="92"/>
    </row>
    <row r="1115" spans="1:8" x14ac:dyDescent="0.25">
      <c r="A1115" s="11">
        <v>45096</v>
      </c>
      <c r="B1115" s="7" t="s">
        <v>14</v>
      </c>
      <c r="C1115" s="8"/>
      <c r="D1115" s="8"/>
      <c r="E1115" s="9"/>
      <c r="F1115" s="14" t="str">
        <f t="shared" si="84"/>
        <v/>
      </c>
      <c r="H1115" s="90">
        <f t="shared" si="83"/>
        <v>52.000000000000014</v>
      </c>
    </row>
    <row r="1116" spans="1:8" x14ac:dyDescent="0.25">
      <c r="A1116" s="6">
        <v>45097</v>
      </c>
      <c r="B1116" s="7" t="s">
        <v>12</v>
      </c>
      <c r="C1116" s="8" t="s">
        <v>10</v>
      </c>
      <c r="D1116" s="8" t="s">
        <v>11</v>
      </c>
      <c r="E1116" s="9"/>
      <c r="F1116" s="14">
        <f t="shared" si="84"/>
        <v>8.6666666666666679</v>
      </c>
      <c r="H1116" s="91"/>
    </row>
    <row r="1117" spans="1:8" x14ac:dyDescent="0.25">
      <c r="A1117" s="11">
        <v>45098</v>
      </c>
      <c r="B1117" s="7" t="s">
        <v>12</v>
      </c>
      <c r="C1117" s="8" t="s">
        <v>10</v>
      </c>
      <c r="D1117" s="8" t="s">
        <v>11</v>
      </c>
      <c r="E1117" s="9"/>
      <c r="F1117" s="14">
        <f t="shared" si="84"/>
        <v>8.6666666666666679</v>
      </c>
      <c r="H1117" s="91"/>
    </row>
    <row r="1118" spans="1:8" x14ac:dyDescent="0.25">
      <c r="A1118" s="6">
        <v>45099</v>
      </c>
      <c r="B1118" s="7" t="s">
        <v>9</v>
      </c>
      <c r="C1118" s="8" t="s">
        <v>10</v>
      </c>
      <c r="D1118" s="8" t="s">
        <v>11</v>
      </c>
      <c r="E1118" s="9"/>
      <c r="F1118" s="14">
        <f t="shared" si="84"/>
        <v>8.6666666666666679</v>
      </c>
      <c r="H1118" s="91"/>
    </row>
    <row r="1119" spans="1:8" x14ac:dyDescent="0.25">
      <c r="A1119" s="11">
        <v>45100</v>
      </c>
      <c r="B1119" s="7" t="s">
        <v>9</v>
      </c>
      <c r="C1119" s="8" t="s">
        <v>10</v>
      </c>
      <c r="D1119" s="8" t="s">
        <v>11</v>
      </c>
      <c r="E1119" s="9"/>
      <c r="F1119" s="14">
        <f t="shared" si="84"/>
        <v>8.6666666666666679</v>
      </c>
      <c r="H1119" s="91"/>
    </row>
    <row r="1120" spans="1:8" x14ac:dyDescent="0.25">
      <c r="A1120" s="6">
        <v>45101</v>
      </c>
      <c r="B1120" s="7" t="s">
        <v>15</v>
      </c>
      <c r="C1120" s="8" t="s">
        <v>10</v>
      </c>
      <c r="D1120" s="8" t="s">
        <v>11</v>
      </c>
      <c r="E1120" s="9"/>
      <c r="F1120" s="14">
        <f t="shared" si="84"/>
        <v>8.6666666666666679</v>
      </c>
      <c r="H1120" s="91"/>
    </row>
    <row r="1121" spans="1:8" x14ac:dyDescent="0.25">
      <c r="A1121" s="11">
        <v>45102</v>
      </c>
      <c r="B1121" s="7" t="s">
        <v>15</v>
      </c>
      <c r="C1121" s="8" t="s">
        <v>10</v>
      </c>
      <c r="D1121" s="8" t="s">
        <v>11</v>
      </c>
      <c r="E1121" s="9"/>
      <c r="F1121" s="14">
        <f t="shared" si="84"/>
        <v>8.6666666666666679</v>
      </c>
      <c r="H1121" s="91"/>
    </row>
    <row r="1122" spans="1:8" x14ac:dyDescent="0.25">
      <c r="A1122" s="30">
        <v>45103</v>
      </c>
      <c r="B1122" s="31" t="s">
        <v>9</v>
      </c>
      <c r="C1122" s="32" t="s">
        <v>10</v>
      </c>
      <c r="D1122" s="8" t="s">
        <v>11</v>
      </c>
      <c r="E1122" s="9"/>
      <c r="F1122" s="14">
        <f t="shared" si="84"/>
        <v>8.6666666666666679</v>
      </c>
      <c r="G1122" s="52"/>
      <c r="H1122" s="90">
        <f t="shared" si="83"/>
        <v>43.333333333333343</v>
      </c>
    </row>
    <row r="1123" spans="1:8" x14ac:dyDescent="0.25">
      <c r="A1123" s="11">
        <v>45104</v>
      </c>
      <c r="B1123" s="7" t="s">
        <v>12</v>
      </c>
      <c r="C1123" s="8" t="s">
        <v>10</v>
      </c>
      <c r="D1123" s="8" t="s">
        <v>11</v>
      </c>
      <c r="E1123" s="9"/>
      <c r="F1123" s="14">
        <f t="shared" si="84"/>
        <v>8.6666666666666679</v>
      </c>
      <c r="H1123" s="91"/>
    </row>
    <row r="1124" spans="1:8" x14ac:dyDescent="0.25">
      <c r="A1124" s="6">
        <v>45105</v>
      </c>
      <c r="B1124" s="7" t="s">
        <v>12</v>
      </c>
      <c r="C1124" s="8" t="s">
        <v>10</v>
      </c>
      <c r="D1124" s="8" t="s">
        <v>11</v>
      </c>
      <c r="E1124" s="9"/>
      <c r="F1124" s="14">
        <f t="shared" si="84"/>
        <v>8.6666666666666679</v>
      </c>
      <c r="H1124" s="91"/>
    </row>
    <row r="1125" spans="1:8" x14ac:dyDescent="0.25">
      <c r="A1125" s="11">
        <v>45106</v>
      </c>
      <c r="B1125" s="7" t="s">
        <v>9</v>
      </c>
      <c r="C1125" s="8" t="s">
        <v>10</v>
      </c>
      <c r="D1125" s="8" t="s">
        <v>11</v>
      </c>
      <c r="E1125" s="9"/>
      <c r="F1125" s="14">
        <f t="shared" si="84"/>
        <v>8.6666666666666679</v>
      </c>
      <c r="H1125" s="91"/>
    </row>
    <row r="1126" spans="1:8" ht="15.75" thickBot="1" x14ac:dyDescent="0.3">
      <c r="A1126" s="53">
        <v>45107</v>
      </c>
      <c r="B1126" s="54" t="s">
        <v>9</v>
      </c>
      <c r="C1126" s="55" t="s">
        <v>10</v>
      </c>
      <c r="D1126" s="55" t="s">
        <v>11</v>
      </c>
      <c r="E1126" s="40"/>
      <c r="F1126" s="41">
        <f t="shared" si="84"/>
        <v>8.6666666666666679</v>
      </c>
      <c r="G1126" s="56"/>
      <c r="H1126" s="91"/>
    </row>
    <row r="1127" spans="1:8" ht="15.75" thickTop="1" x14ac:dyDescent="0.25">
      <c r="A1127" s="57">
        <v>45108</v>
      </c>
      <c r="B1127" s="45" t="s">
        <v>8</v>
      </c>
      <c r="C1127" s="8"/>
      <c r="D1127" s="8"/>
      <c r="E1127" s="9"/>
      <c r="F1127" s="14" t="str">
        <f t="shared" si="84"/>
        <v/>
      </c>
      <c r="H1127" s="91"/>
    </row>
    <row r="1128" spans="1:8" x14ac:dyDescent="0.25">
      <c r="A1128" s="34">
        <v>45109</v>
      </c>
      <c r="B1128" s="35" t="s">
        <v>8</v>
      </c>
      <c r="C1128" s="28"/>
      <c r="D1128" s="8"/>
      <c r="E1128" s="9"/>
      <c r="F1128" s="14" t="str">
        <f t="shared" si="84"/>
        <v/>
      </c>
      <c r="G1128" s="58"/>
      <c r="H1128" s="92"/>
    </row>
    <row r="1129" spans="1:8" x14ac:dyDescent="0.25">
      <c r="A1129" s="36">
        <v>45110</v>
      </c>
      <c r="B1129" s="31" t="s">
        <v>14</v>
      </c>
      <c r="C1129" s="32"/>
      <c r="D1129" s="8"/>
      <c r="E1129" s="9"/>
      <c r="F1129" s="14" t="str">
        <f t="shared" si="84"/>
        <v/>
      </c>
      <c r="G1129" s="52"/>
      <c r="H1129" s="90">
        <f t="shared" ref="H1129:H1178" si="85">SUM(F1129:G1135)</f>
        <v>34.666666666666671</v>
      </c>
    </row>
    <row r="1130" spans="1:8" x14ac:dyDescent="0.25">
      <c r="A1130" s="6">
        <v>45111</v>
      </c>
      <c r="B1130" s="7" t="s">
        <v>9</v>
      </c>
      <c r="C1130" s="8" t="s">
        <v>10</v>
      </c>
      <c r="D1130" s="8" t="s">
        <v>11</v>
      </c>
      <c r="E1130" s="9"/>
      <c r="F1130" s="14">
        <f t="shared" si="84"/>
        <v>8.6666666666666679</v>
      </c>
      <c r="H1130" s="91"/>
    </row>
    <row r="1131" spans="1:8" x14ac:dyDescent="0.25">
      <c r="A1131" s="11">
        <v>45112</v>
      </c>
      <c r="B1131" s="7" t="s">
        <v>9</v>
      </c>
      <c r="C1131" s="8" t="s">
        <v>10</v>
      </c>
      <c r="D1131" s="8" t="s">
        <v>11</v>
      </c>
      <c r="E1131" s="9"/>
      <c r="F1131" s="14">
        <f t="shared" si="84"/>
        <v>8.6666666666666679</v>
      </c>
      <c r="H1131" s="91"/>
    </row>
    <row r="1132" spans="1:8" x14ac:dyDescent="0.25">
      <c r="A1132" s="6">
        <v>45113</v>
      </c>
      <c r="B1132" s="7" t="s">
        <v>9</v>
      </c>
      <c r="C1132" s="8" t="s">
        <v>10</v>
      </c>
      <c r="D1132" s="8" t="s">
        <v>11</v>
      </c>
      <c r="E1132" s="9"/>
      <c r="F1132" s="14">
        <f t="shared" si="84"/>
        <v>8.6666666666666679</v>
      </c>
      <c r="H1132" s="91"/>
    </row>
    <row r="1133" spans="1:8" x14ac:dyDescent="0.25">
      <c r="A1133" s="11">
        <v>45114</v>
      </c>
      <c r="B1133" s="7" t="s">
        <v>9</v>
      </c>
      <c r="C1133" s="8" t="s">
        <v>10</v>
      </c>
      <c r="D1133" s="8" t="s">
        <v>11</v>
      </c>
      <c r="E1133" s="9"/>
      <c r="F1133" s="14">
        <f t="shared" si="84"/>
        <v>8.6666666666666679</v>
      </c>
      <c r="H1133" s="91"/>
    </row>
    <row r="1134" spans="1:8" x14ac:dyDescent="0.25">
      <c r="A1134" s="6">
        <v>45115</v>
      </c>
      <c r="B1134" s="7" t="s">
        <v>8</v>
      </c>
      <c r="C1134" s="8"/>
      <c r="D1134" s="8"/>
      <c r="E1134" s="9"/>
      <c r="F1134" s="14" t="str">
        <f t="shared" si="84"/>
        <v/>
      </c>
      <c r="H1134" s="91"/>
    </row>
    <row r="1135" spans="1:8" x14ac:dyDescent="0.25">
      <c r="A1135" s="43">
        <v>45116</v>
      </c>
      <c r="B1135" s="35" t="s">
        <v>8</v>
      </c>
      <c r="C1135" s="28"/>
      <c r="D1135" s="8"/>
      <c r="E1135" s="9"/>
      <c r="F1135" s="14" t="str">
        <f t="shared" si="84"/>
        <v/>
      </c>
      <c r="G1135" s="58"/>
      <c r="H1135" s="92"/>
    </row>
    <row r="1136" spans="1:8" x14ac:dyDescent="0.25">
      <c r="A1136" s="30">
        <v>45117</v>
      </c>
      <c r="B1136" s="31" t="s">
        <v>9</v>
      </c>
      <c r="C1136" s="32" t="s">
        <v>10</v>
      </c>
      <c r="D1136" s="8" t="s">
        <v>11</v>
      </c>
      <c r="E1136" s="9"/>
      <c r="F1136" s="14">
        <f t="shared" si="84"/>
        <v>8.6666666666666679</v>
      </c>
      <c r="G1136" s="52"/>
      <c r="H1136" s="90">
        <f t="shared" si="85"/>
        <v>43.333333333333343</v>
      </c>
    </row>
    <row r="1137" spans="1:8" x14ac:dyDescent="0.25">
      <c r="A1137" s="11">
        <v>45118</v>
      </c>
      <c r="B1137" s="7" t="s">
        <v>9</v>
      </c>
      <c r="C1137" s="8" t="s">
        <v>10</v>
      </c>
      <c r="D1137" s="8" t="s">
        <v>11</v>
      </c>
      <c r="E1137" s="9"/>
      <c r="F1137" s="14">
        <f t="shared" si="84"/>
        <v>8.6666666666666679</v>
      </c>
      <c r="H1137" s="91"/>
    </row>
    <row r="1138" spans="1:8" x14ac:dyDescent="0.25">
      <c r="A1138" s="6">
        <v>45119</v>
      </c>
      <c r="B1138" s="7" t="s">
        <v>9</v>
      </c>
      <c r="C1138" s="8" t="s">
        <v>10</v>
      </c>
      <c r="D1138" s="8" t="s">
        <v>11</v>
      </c>
      <c r="E1138" s="9"/>
      <c r="F1138" s="14">
        <f t="shared" si="84"/>
        <v>8.6666666666666679</v>
      </c>
      <c r="H1138" s="91"/>
    </row>
    <row r="1139" spans="1:8" x14ac:dyDescent="0.25">
      <c r="A1139" s="11">
        <v>45120</v>
      </c>
      <c r="B1139" s="7" t="s">
        <v>9</v>
      </c>
      <c r="C1139" s="8" t="s">
        <v>10</v>
      </c>
      <c r="D1139" s="8" t="s">
        <v>11</v>
      </c>
      <c r="E1139" s="9"/>
      <c r="F1139" s="14">
        <f t="shared" si="84"/>
        <v>8.6666666666666679</v>
      </c>
      <c r="H1139" s="91"/>
    </row>
    <row r="1140" spans="1:8" x14ac:dyDescent="0.25">
      <c r="A1140" s="6">
        <v>45121</v>
      </c>
      <c r="B1140" s="7" t="s">
        <v>9</v>
      </c>
      <c r="C1140" s="8" t="s">
        <v>10</v>
      </c>
      <c r="D1140" s="8" t="s">
        <v>11</v>
      </c>
      <c r="E1140" s="9"/>
      <c r="F1140" s="14">
        <f t="shared" si="84"/>
        <v>8.6666666666666679</v>
      </c>
      <c r="H1140" s="91"/>
    </row>
    <row r="1141" spans="1:8" x14ac:dyDescent="0.25">
      <c r="A1141" s="11">
        <v>45122</v>
      </c>
      <c r="B1141" s="7" t="s">
        <v>8</v>
      </c>
      <c r="C1141" s="8"/>
      <c r="D1141" s="8"/>
      <c r="E1141" s="9"/>
      <c r="F1141" s="14" t="str">
        <f t="shared" si="84"/>
        <v/>
      </c>
      <c r="H1141" s="91"/>
    </row>
    <row r="1142" spans="1:8" x14ac:dyDescent="0.25">
      <c r="A1142" s="34">
        <v>45123</v>
      </c>
      <c r="B1142" s="35" t="s">
        <v>8</v>
      </c>
      <c r="C1142" s="28"/>
      <c r="D1142" s="8"/>
      <c r="E1142" s="9"/>
      <c r="F1142" s="14" t="str">
        <f t="shared" si="84"/>
        <v/>
      </c>
      <c r="G1142" s="58"/>
      <c r="H1142" s="92"/>
    </row>
    <row r="1143" spans="1:8" x14ac:dyDescent="0.25">
      <c r="A1143" s="36">
        <v>45124</v>
      </c>
      <c r="B1143" s="31" t="s">
        <v>14</v>
      </c>
      <c r="C1143" s="32"/>
      <c r="D1143" s="8"/>
      <c r="E1143" s="9"/>
      <c r="F1143" s="14" t="str">
        <f t="shared" si="84"/>
        <v/>
      </c>
      <c r="G1143" s="52"/>
      <c r="H1143" s="90">
        <f t="shared" si="85"/>
        <v>52.000000000000014</v>
      </c>
    </row>
    <row r="1144" spans="1:8" x14ac:dyDescent="0.25">
      <c r="A1144" s="6">
        <v>45125</v>
      </c>
      <c r="B1144" s="7" t="s">
        <v>9</v>
      </c>
      <c r="C1144" s="8" t="s">
        <v>10</v>
      </c>
      <c r="D1144" s="8" t="s">
        <v>11</v>
      </c>
      <c r="E1144" s="9"/>
      <c r="F1144" s="14">
        <f t="shared" si="84"/>
        <v>8.6666666666666679</v>
      </c>
      <c r="H1144" s="91"/>
    </row>
    <row r="1145" spans="1:8" x14ac:dyDescent="0.25">
      <c r="A1145" s="11">
        <v>45126</v>
      </c>
      <c r="B1145" s="7" t="s">
        <v>9</v>
      </c>
      <c r="C1145" s="8" t="s">
        <v>10</v>
      </c>
      <c r="D1145" s="8" t="s">
        <v>11</v>
      </c>
      <c r="E1145" s="9"/>
      <c r="F1145" s="14">
        <f t="shared" si="84"/>
        <v>8.6666666666666679</v>
      </c>
      <c r="H1145" s="91"/>
    </row>
    <row r="1146" spans="1:8" x14ac:dyDescent="0.25">
      <c r="A1146" s="6">
        <v>45127</v>
      </c>
      <c r="B1146" s="7" t="s">
        <v>9</v>
      </c>
      <c r="C1146" s="8" t="s">
        <v>10</v>
      </c>
      <c r="D1146" s="8" t="s">
        <v>11</v>
      </c>
      <c r="E1146" s="9"/>
      <c r="F1146" s="14">
        <f t="shared" si="84"/>
        <v>8.6666666666666679</v>
      </c>
      <c r="H1146" s="91"/>
    </row>
    <row r="1147" spans="1:8" x14ac:dyDescent="0.25">
      <c r="A1147" s="11">
        <v>45128</v>
      </c>
      <c r="B1147" s="7" t="s">
        <v>9</v>
      </c>
      <c r="C1147" s="8" t="s">
        <v>10</v>
      </c>
      <c r="D1147" s="8" t="s">
        <v>11</v>
      </c>
      <c r="E1147" s="9"/>
      <c r="F1147" s="14">
        <f t="shared" si="84"/>
        <v>8.6666666666666679</v>
      </c>
      <c r="H1147" s="91"/>
    </row>
    <row r="1148" spans="1:8" x14ac:dyDescent="0.25">
      <c r="A1148" s="6">
        <v>45129</v>
      </c>
      <c r="B1148" s="7" t="s">
        <v>15</v>
      </c>
      <c r="C1148" s="8" t="s">
        <v>10</v>
      </c>
      <c r="D1148" s="8" t="s">
        <v>11</v>
      </c>
      <c r="E1148" s="9"/>
      <c r="F1148" s="14">
        <f t="shared" si="84"/>
        <v>8.6666666666666679</v>
      </c>
      <c r="H1148" s="91"/>
    </row>
    <row r="1149" spans="1:8" x14ac:dyDescent="0.25">
      <c r="A1149" s="43">
        <v>45130</v>
      </c>
      <c r="B1149" s="35" t="s">
        <v>15</v>
      </c>
      <c r="C1149" s="28" t="s">
        <v>10</v>
      </c>
      <c r="D1149" s="8" t="s">
        <v>11</v>
      </c>
      <c r="E1149" s="9"/>
      <c r="F1149" s="14">
        <f t="shared" si="84"/>
        <v>8.6666666666666679</v>
      </c>
      <c r="G1149" s="58"/>
      <c r="H1149" s="92"/>
    </row>
    <row r="1150" spans="1:8" x14ac:dyDescent="0.25">
      <c r="A1150" s="30">
        <v>45131</v>
      </c>
      <c r="B1150" s="31" t="s">
        <v>9</v>
      </c>
      <c r="C1150" s="32" t="s">
        <v>10</v>
      </c>
      <c r="D1150" s="8" t="s">
        <v>11</v>
      </c>
      <c r="E1150" s="9"/>
      <c r="F1150" s="14">
        <f t="shared" si="84"/>
        <v>8.6666666666666679</v>
      </c>
      <c r="G1150" s="52"/>
      <c r="H1150" s="90">
        <f t="shared" si="85"/>
        <v>34.666666666666671</v>
      </c>
    </row>
    <row r="1151" spans="1:8" x14ac:dyDescent="0.25">
      <c r="A1151" s="11">
        <v>45132</v>
      </c>
      <c r="B1151" s="7" t="s">
        <v>12</v>
      </c>
      <c r="C1151" s="8" t="s">
        <v>10</v>
      </c>
      <c r="D1151" s="8" t="s">
        <v>11</v>
      </c>
      <c r="E1151" s="9"/>
      <c r="F1151" s="14">
        <f t="shared" si="84"/>
        <v>8.6666666666666679</v>
      </c>
      <c r="H1151" s="91"/>
    </row>
    <row r="1152" spans="1:8" x14ac:dyDescent="0.25">
      <c r="A1152" s="6">
        <v>45133</v>
      </c>
      <c r="B1152" s="7" t="s">
        <v>12</v>
      </c>
      <c r="C1152" s="8" t="s">
        <v>10</v>
      </c>
      <c r="D1152" s="8" t="s">
        <v>11</v>
      </c>
      <c r="E1152" s="9"/>
      <c r="F1152" s="14">
        <f t="shared" si="84"/>
        <v>8.6666666666666679</v>
      </c>
      <c r="H1152" s="91"/>
    </row>
    <row r="1153" spans="1:8" x14ac:dyDescent="0.25">
      <c r="A1153" s="11">
        <v>45134</v>
      </c>
      <c r="B1153" s="7" t="s">
        <v>9</v>
      </c>
      <c r="C1153" s="8" t="s">
        <v>10</v>
      </c>
      <c r="D1153" s="8" t="s">
        <v>11</v>
      </c>
      <c r="E1153" s="9"/>
      <c r="F1153" s="14">
        <f t="shared" si="84"/>
        <v>8.6666666666666679</v>
      </c>
      <c r="H1153" s="91"/>
    </row>
    <row r="1154" spans="1:8" x14ac:dyDescent="0.25">
      <c r="A1154" s="6">
        <v>45135</v>
      </c>
      <c r="B1154" s="7" t="s">
        <v>8</v>
      </c>
      <c r="C1154" s="8"/>
      <c r="D1154" s="8"/>
      <c r="E1154" s="9"/>
      <c r="F1154" s="14" t="str">
        <f t="shared" si="84"/>
        <v/>
      </c>
      <c r="H1154" s="91"/>
    </row>
    <row r="1155" spans="1:8" x14ac:dyDescent="0.25">
      <c r="A1155" s="11">
        <v>45136</v>
      </c>
      <c r="B1155" s="7" t="s">
        <v>8</v>
      </c>
      <c r="C1155" s="8"/>
      <c r="D1155" s="8"/>
      <c r="E1155" s="9"/>
      <c r="F1155" s="14" t="str">
        <f t="shared" si="84"/>
        <v/>
      </c>
      <c r="H1155" s="91"/>
    </row>
    <row r="1156" spans="1:8" x14ac:dyDescent="0.25">
      <c r="A1156" s="34">
        <v>45137</v>
      </c>
      <c r="B1156" s="35" t="s">
        <v>8</v>
      </c>
      <c r="C1156" s="28"/>
      <c r="D1156" s="8"/>
      <c r="E1156" s="9"/>
      <c r="F1156" s="14" t="str">
        <f t="shared" si="84"/>
        <v/>
      </c>
      <c r="G1156" s="58"/>
      <c r="H1156" s="92"/>
    </row>
    <row r="1157" spans="1:8" x14ac:dyDescent="0.25">
      <c r="A1157" s="36">
        <v>45138</v>
      </c>
      <c r="B1157" s="31" t="s">
        <v>14</v>
      </c>
      <c r="C1157" s="32"/>
      <c r="D1157" s="8"/>
      <c r="E1157" s="9"/>
      <c r="F1157" s="14" t="str">
        <f t="shared" ref="F1157:F1220" si="86">IF(C1157="", "", IF(D1157="", "", (D1157-C1157)*24 - E1157))</f>
        <v/>
      </c>
      <c r="G1157" s="52"/>
      <c r="H1157" s="90">
        <f t="shared" si="85"/>
        <v>34.666666666666671</v>
      </c>
    </row>
    <row r="1158" spans="1:8" x14ac:dyDescent="0.25">
      <c r="A1158" s="6">
        <v>45139</v>
      </c>
      <c r="B1158" s="7" t="s">
        <v>12</v>
      </c>
      <c r="C1158" s="8" t="s">
        <v>10</v>
      </c>
      <c r="D1158" s="8" t="s">
        <v>11</v>
      </c>
      <c r="E1158" s="9"/>
      <c r="F1158" s="14">
        <f t="shared" si="86"/>
        <v>8.6666666666666679</v>
      </c>
      <c r="H1158" s="91"/>
    </row>
    <row r="1159" spans="1:8" x14ac:dyDescent="0.25">
      <c r="A1159" s="11">
        <v>45140</v>
      </c>
      <c r="B1159" s="7" t="s">
        <v>12</v>
      </c>
      <c r="C1159" s="8" t="s">
        <v>10</v>
      </c>
      <c r="D1159" s="8" t="s">
        <v>11</v>
      </c>
      <c r="E1159" s="9"/>
      <c r="F1159" s="14">
        <f t="shared" si="86"/>
        <v>8.6666666666666679</v>
      </c>
      <c r="H1159" s="91"/>
    </row>
    <row r="1160" spans="1:8" x14ac:dyDescent="0.25">
      <c r="A1160" s="6">
        <v>45141</v>
      </c>
      <c r="B1160" s="7" t="s">
        <v>9</v>
      </c>
      <c r="C1160" s="8" t="s">
        <v>10</v>
      </c>
      <c r="D1160" s="8" t="s">
        <v>11</v>
      </c>
      <c r="E1160" s="9"/>
      <c r="F1160" s="14">
        <f t="shared" si="86"/>
        <v>8.6666666666666679</v>
      </c>
      <c r="H1160" s="91"/>
    </row>
    <row r="1161" spans="1:8" x14ac:dyDescent="0.25">
      <c r="A1161" s="11">
        <v>45142</v>
      </c>
      <c r="B1161" s="7" t="s">
        <v>9</v>
      </c>
      <c r="C1161" s="8" t="s">
        <v>10</v>
      </c>
      <c r="D1161" s="8" t="s">
        <v>11</v>
      </c>
      <c r="E1161" s="9"/>
      <c r="F1161" s="14">
        <f t="shared" si="86"/>
        <v>8.6666666666666679</v>
      </c>
      <c r="H1161" s="91"/>
    </row>
    <row r="1162" spans="1:8" x14ac:dyDescent="0.25">
      <c r="A1162" s="6">
        <v>45143</v>
      </c>
      <c r="B1162" s="7" t="s">
        <v>8</v>
      </c>
      <c r="C1162" s="8"/>
      <c r="D1162" s="8"/>
      <c r="E1162" s="9"/>
      <c r="F1162" s="14" t="str">
        <f t="shared" si="86"/>
        <v/>
      </c>
      <c r="H1162" s="91"/>
    </row>
    <row r="1163" spans="1:8" x14ac:dyDescent="0.25">
      <c r="A1163" s="43">
        <v>45144</v>
      </c>
      <c r="B1163" s="35" t="s">
        <v>8</v>
      </c>
      <c r="C1163" s="28"/>
      <c r="D1163" s="8"/>
      <c r="E1163" s="9"/>
      <c r="F1163" s="14" t="str">
        <f t="shared" si="86"/>
        <v/>
      </c>
      <c r="G1163" s="58"/>
      <c r="H1163" s="92"/>
    </row>
    <row r="1164" spans="1:8" x14ac:dyDescent="0.25">
      <c r="A1164" s="30">
        <v>45145</v>
      </c>
      <c r="B1164" s="31" t="s">
        <v>9</v>
      </c>
      <c r="C1164" s="32" t="s">
        <v>10</v>
      </c>
      <c r="D1164" s="8" t="s">
        <v>11</v>
      </c>
      <c r="E1164" s="9"/>
      <c r="F1164" s="14">
        <f t="shared" si="86"/>
        <v>8.6666666666666679</v>
      </c>
      <c r="G1164" s="52"/>
      <c r="H1164" s="90">
        <f t="shared" si="85"/>
        <v>52.333333333333343</v>
      </c>
    </row>
    <row r="1165" spans="1:8" x14ac:dyDescent="0.25">
      <c r="A1165" s="11">
        <v>45146</v>
      </c>
      <c r="B1165" s="7" t="s">
        <v>12</v>
      </c>
      <c r="C1165" s="8" t="s">
        <v>10</v>
      </c>
      <c r="D1165" s="8" t="s">
        <v>11</v>
      </c>
      <c r="E1165" s="9"/>
      <c r="F1165" s="14">
        <f t="shared" si="86"/>
        <v>8.6666666666666679</v>
      </c>
      <c r="G1165" s="12">
        <v>1</v>
      </c>
      <c r="H1165" s="91"/>
    </row>
    <row r="1166" spans="1:8" x14ac:dyDescent="0.25">
      <c r="A1166" s="6">
        <v>45147</v>
      </c>
      <c r="B1166" s="7" t="s">
        <v>12</v>
      </c>
      <c r="C1166" s="8" t="s">
        <v>10</v>
      </c>
      <c r="D1166" s="8" t="s">
        <v>11</v>
      </c>
      <c r="E1166" s="9"/>
      <c r="F1166" s="14">
        <f t="shared" si="86"/>
        <v>8.6666666666666679</v>
      </c>
      <c r="G1166" s="12">
        <v>1</v>
      </c>
      <c r="H1166" s="91"/>
    </row>
    <row r="1167" spans="1:8" x14ac:dyDescent="0.25">
      <c r="A1167" s="11">
        <v>45148</v>
      </c>
      <c r="B1167" s="7" t="s">
        <v>9</v>
      </c>
      <c r="C1167" s="8" t="s">
        <v>10</v>
      </c>
      <c r="D1167" s="8" t="s">
        <v>11</v>
      </c>
      <c r="E1167" s="9"/>
      <c r="F1167" s="14">
        <f t="shared" si="86"/>
        <v>8.6666666666666679</v>
      </c>
      <c r="G1167" s="12">
        <v>2</v>
      </c>
      <c r="H1167" s="91"/>
    </row>
    <row r="1168" spans="1:8" x14ac:dyDescent="0.25">
      <c r="A1168" s="6">
        <v>45149</v>
      </c>
      <c r="B1168" s="7" t="s">
        <v>9</v>
      </c>
      <c r="C1168" s="8" t="s">
        <v>10</v>
      </c>
      <c r="D1168" s="8" t="s">
        <v>11</v>
      </c>
      <c r="E1168" s="9"/>
      <c r="F1168" s="14">
        <f t="shared" si="86"/>
        <v>8.6666666666666679</v>
      </c>
      <c r="G1168" s="12">
        <v>1</v>
      </c>
      <c r="H1168" s="91"/>
    </row>
    <row r="1169" spans="1:8" x14ac:dyDescent="0.25">
      <c r="A1169" s="11">
        <v>45150</v>
      </c>
      <c r="B1169" s="7" t="s">
        <v>15</v>
      </c>
      <c r="C1169" s="8"/>
      <c r="D1169" s="8"/>
      <c r="E1169" s="9"/>
      <c r="F1169" s="14" t="str">
        <f t="shared" si="86"/>
        <v/>
      </c>
      <c r="G1169" s="12">
        <v>2</v>
      </c>
      <c r="H1169" s="91"/>
    </row>
    <row r="1170" spans="1:8" x14ac:dyDescent="0.25">
      <c r="A1170" s="34">
        <v>45151</v>
      </c>
      <c r="B1170" s="35" t="s">
        <v>15</v>
      </c>
      <c r="C1170" s="28"/>
      <c r="D1170" s="8"/>
      <c r="E1170" s="9"/>
      <c r="F1170" s="14" t="str">
        <f t="shared" si="86"/>
        <v/>
      </c>
      <c r="G1170" s="59">
        <v>2</v>
      </c>
      <c r="H1170" s="92"/>
    </row>
    <row r="1171" spans="1:8" x14ac:dyDescent="0.25">
      <c r="A1171" s="36">
        <v>45152</v>
      </c>
      <c r="B1171" s="31" t="s">
        <v>14</v>
      </c>
      <c r="C1171" s="32"/>
      <c r="D1171" s="8"/>
      <c r="E1171" s="9"/>
      <c r="F1171" s="14" t="str">
        <f t="shared" si="86"/>
        <v/>
      </c>
      <c r="G1171" s="60">
        <v>2</v>
      </c>
      <c r="H1171" s="90">
        <f t="shared" si="85"/>
        <v>35</v>
      </c>
    </row>
    <row r="1172" spans="1:8" x14ac:dyDescent="0.25">
      <c r="A1172" s="6">
        <v>45153</v>
      </c>
      <c r="B1172" s="7" t="s">
        <v>12</v>
      </c>
      <c r="C1172" s="8" t="s">
        <v>10</v>
      </c>
      <c r="D1172" s="8" t="s">
        <v>11</v>
      </c>
      <c r="E1172" s="9"/>
      <c r="F1172" s="14">
        <f t="shared" si="86"/>
        <v>8.6666666666666679</v>
      </c>
      <c r="H1172" s="91"/>
    </row>
    <row r="1173" spans="1:8" x14ac:dyDescent="0.25">
      <c r="A1173" s="11">
        <v>45154</v>
      </c>
      <c r="B1173" s="7" t="s">
        <v>8</v>
      </c>
      <c r="C1173" s="8"/>
      <c r="D1173" s="8"/>
      <c r="E1173" s="9"/>
      <c r="F1173" s="14" t="str">
        <f t="shared" si="86"/>
        <v/>
      </c>
      <c r="G1173" s="12">
        <v>1</v>
      </c>
      <c r="H1173" s="91"/>
    </row>
    <row r="1174" spans="1:8" x14ac:dyDescent="0.25">
      <c r="A1174" s="6">
        <v>45155</v>
      </c>
      <c r="B1174" s="7" t="s">
        <v>9</v>
      </c>
      <c r="C1174" s="8" t="s">
        <v>10</v>
      </c>
      <c r="D1174" s="8" t="s">
        <v>11</v>
      </c>
      <c r="E1174" s="9"/>
      <c r="F1174" s="14">
        <f t="shared" si="86"/>
        <v>8.6666666666666679</v>
      </c>
      <c r="G1174" s="12">
        <v>2</v>
      </c>
      <c r="H1174" s="91"/>
    </row>
    <row r="1175" spans="1:8" x14ac:dyDescent="0.25">
      <c r="A1175" s="11">
        <v>45156</v>
      </c>
      <c r="B1175" s="7" t="s">
        <v>12</v>
      </c>
      <c r="C1175" s="8" t="s">
        <v>10</v>
      </c>
      <c r="D1175" s="8" t="s">
        <v>11</v>
      </c>
      <c r="E1175" s="9"/>
      <c r="F1175" s="14">
        <f t="shared" si="86"/>
        <v>8.6666666666666679</v>
      </c>
      <c r="G1175" s="12">
        <v>1</v>
      </c>
      <c r="H1175" s="91"/>
    </row>
    <row r="1176" spans="1:8" x14ac:dyDescent="0.25">
      <c r="A1176" s="6">
        <v>45157</v>
      </c>
      <c r="B1176" s="7" t="s">
        <v>15</v>
      </c>
      <c r="C1176" s="8"/>
      <c r="D1176" s="8"/>
      <c r="E1176" s="9"/>
      <c r="F1176" s="14" t="str">
        <f t="shared" si="86"/>
        <v/>
      </c>
      <c r="H1176" s="91"/>
    </row>
    <row r="1177" spans="1:8" x14ac:dyDescent="0.25">
      <c r="A1177" s="43">
        <v>45158</v>
      </c>
      <c r="B1177" s="35" t="s">
        <v>15</v>
      </c>
      <c r="C1177" s="28"/>
      <c r="D1177" s="8"/>
      <c r="E1177" s="9"/>
      <c r="F1177" s="14" t="str">
        <f t="shared" si="86"/>
        <v/>
      </c>
      <c r="G1177" s="59">
        <v>3</v>
      </c>
      <c r="H1177" s="92"/>
    </row>
    <row r="1178" spans="1:8" x14ac:dyDescent="0.25">
      <c r="A1178" s="30">
        <v>45159</v>
      </c>
      <c r="B1178" s="31" t="s">
        <v>9</v>
      </c>
      <c r="C1178" s="32" t="s">
        <v>10</v>
      </c>
      <c r="D1178" s="8" t="s">
        <v>11</v>
      </c>
      <c r="E1178" s="9"/>
      <c r="F1178" s="14">
        <f t="shared" si="86"/>
        <v>8.6666666666666679</v>
      </c>
      <c r="G1178" s="52"/>
      <c r="H1178" s="90">
        <f t="shared" si="85"/>
        <v>43.333333333333343</v>
      </c>
    </row>
    <row r="1179" spans="1:8" x14ac:dyDescent="0.25">
      <c r="A1179" s="11">
        <v>45160</v>
      </c>
      <c r="B1179" s="7" t="s">
        <v>12</v>
      </c>
      <c r="C1179" s="8" t="s">
        <v>10</v>
      </c>
      <c r="D1179" s="8" t="s">
        <v>11</v>
      </c>
      <c r="E1179" s="9"/>
      <c r="F1179" s="14">
        <f t="shared" si="86"/>
        <v>8.6666666666666679</v>
      </c>
      <c r="H1179" s="91"/>
    </row>
    <row r="1180" spans="1:8" x14ac:dyDescent="0.25">
      <c r="A1180" s="6">
        <v>45161</v>
      </c>
      <c r="B1180" s="7" t="s">
        <v>9</v>
      </c>
      <c r="C1180" s="8" t="s">
        <v>10</v>
      </c>
      <c r="D1180" s="8" t="s">
        <v>11</v>
      </c>
      <c r="E1180" s="9"/>
      <c r="F1180" s="14">
        <f t="shared" si="86"/>
        <v>8.6666666666666679</v>
      </c>
      <c r="H1180" s="91"/>
    </row>
    <row r="1181" spans="1:8" x14ac:dyDescent="0.25">
      <c r="A1181" s="11">
        <v>45162</v>
      </c>
      <c r="B1181" s="7" t="s">
        <v>9</v>
      </c>
      <c r="C1181" s="8" t="s">
        <v>10</v>
      </c>
      <c r="D1181" s="8" t="s">
        <v>11</v>
      </c>
      <c r="E1181" s="9"/>
      <c r="F1181" s="14">
        <f t="shared" si="86"/>
        <v>8.6666666666666679</v>
      </c>
      <c r="H1181" s="91"/>
    </row>
    <row r="1182" spans="1:8" x14ac:dyDescent="0.25">
      <c r="A1182" s="6">
        <v>45163</v>
      </c>
      <c r="B1182" s="7" t="s">
        <v>9</v>
      </c>
      <c r="C1182" s="8" t="s">
        <v>10</v>
      </c>
      <c r="D1182" s="8" t="s">
        <v>11</v>
      </c>
      <c r="E1182" s="9"/>
      <c r="F1182" s="14">
        <f t="shared" si="86"/>
        <v>8.6666666666666679</v>
      </c>
      <c r="H1182" s="91"/>
    </row>
    <row r="1183" spans="1:8" x14ac:dyDescent="0.25">
      <c r="A1183" s="11">
        <v>45164</v>
      </c>
      <c r="B1183" s="7" t="s">
        <v>8</v>
      </c>
      <c r="C1183" s="8"/>
      <c r="D1183" s="8"/>
      <c r="E1183" s="9"/>
      <c r="F1183" s="14" t="str">
        <f t="shared" si="86"/>
        <v/>
      </c>
      <c r="H1183" s="91"/>
    </row>
    <row r="1184" spans="1:8" x14ac:dyDescent="0.25">
      <c r="A1184" s="34">
        <v>45165</v>
      </c>
      <c r="B1184" s="35" t="s">
        <v>8</v>
      </c>
      <c r="C1184" s="28"/>
      <c r="D1184" s="8"/>
      <c r="E1184" s="9"/>
      <c r="F1184" s="14" t="str">
        <f t="shared" si="86"/>
        <v/>
      </c>
      <c r="G1184" s="58"/>
      <c r="H1184" s="92"/>
    </row>
    <row r="1185" spans="1:8" x14ac:dyDescent="0.25">
      <c r="A1185" s="36">
        <v>45166</v>
      </c>
      <c r="B1185" s="31" t="s">
        <v>14</v>
      </c>
      <c r="C1185" s="32"/>
      <c r="D1185" s="8"/>
      <c r="E1185" s="9"/>
      <c r="F1185" s="14" t="str">
        <f t="shared" si="86"/>
        <v/>
      </c>
      <c r="G1185" s="52"/>
      <c r="H1185" s="90">
        <f t="shared" ref="H1185:H1220" si="87">SUM(F1185:G1191)</f>
        <v>0</v>
      </c>
    </row>
    <row r="1186" spans="1:8" x14ac:dyDescent="0.25">
      <c r="A1186" s="6">
        <v>45167</v>
      </c>
      <c r="B1186" s="7" t="s">
        <v>8</v>
      </c>
      <c r="C1186" s="8"/>
      <c r="D1186" s="8"/>
      <c r="E1186" s="9"/>
      <c r="F1186" s="14" t="str">
        <f t="shared" si="86"/>
        <v/>
      </c>
      <c r="H1186" s="91"/>
    </row>
    <row r="1187" spans="1:8" x14ac:dyDescent="0.25">
      <c r="A1187" s="11">
        <v>45168</v>
      </c>
      <c r="B1187" s="7" t="s">
        <v>13</v>
      </c>
      <c r="C1187" s="8"/>
      <c r="D1187" s="8"/>
      <c r="E1187" s="9"/>
      <c r="F1187" s="14" t="str">
        <f t="shared" si="86"/>
        <v/>
      </c>
      <c r="H1187" s="91"/>
    </row>
    <row r="1188" spans="1:8" x14ac:dyDescent="0.25">
      <c r="A1188" s="6">
        <v>45169</v>
      </c>
      <c r="B1188" s="7" t="s">
        <v>8</v>
      </c>
      <c r="C1188" s="8"/>
      <c r="D1188" s="8"/>
      <c r="E1188" s="9"/>
      <c r="F1188" s="14" t="str">
        <f t="shared" si="86"/>
        <v/>
      </c>
      <c r="H1188" s="91"/>
    </row>
    <row r="1189" spans="1:8" x14ac:dyDescent="0.25">
      <c r="A1189" s="11">
        <v>45170</v>
      </c>
      <c r="B1189" s="7" t="s">
        <v>8</v>
      </c>
      <c r="C1189" s="8"/>
      <c r="D1189" s="8"/>
      <c r="E1189" s="9"/>
      <c r="F1189" s="14" t="str">
        <f t="shared" si="86"/>
        <v/>
      </c>
      <c r="H1189" s="91"/>
    </row>
    <row r="1190" spans="1:8" x14ac:dyDescent="0.25">
      <c r="A1190" s="6">
        <v>45171</v>
      </c>
      <c r="B1190" s="7" t="s">
        <v>8</v>
      </c>
      <c r="C1190" s="8"/>
      <c r="D1190" s="8"/>
      <c r="E1190" s="9"/>
      <c r="F1190" s="14" t="str">
        <f t="shared" si="86"/>
        <v/>
      </c>
      <c r="H1190" s="91"/>
    </row>
    <row r="1191" spans="1:8" x14ac:dyDescent="0.25">
      <c r="A1191" s="43">
        <v>45172</v>
      </c>
      <c r="B1191" s="35" t="s">
        <v>8</v>
      </c>
      <c r="C1191" s="28"/>
      <c r="D1191" s="8"/>
      <c r="E1191" s="9"/>
      <c r="F1191" s="14" t="str">
        <f t="shared" si="86"/>
        <v/>
      </c>
      <c r="G1191" s="58"/>
      <c r="H1191" s="92"/>
    </row>
    <row r="1192" spans="1:8" x14ac:dyDescent="0.25">
      <c r="A1192" s="30">
        <v>45173</v>
      </c>
      <c r="B1192" s="31" t="s">
        <v>9</v>
      </c>
      <c r="C1192" s="32" t="s">
        <v>10</v>
      </c>
      <c r="D1192" s="8" t="s">
        <v>11</v>
      </c>
      <c r="E1192" s="9"/>
      <c r="F1192" s="14">
        <f t="shared" si="86"/>
        <v>8.6666666666666679</v>
      </c>
      <c r="G1192" s="52"/>
      <c r="H1192" s="90">
        <f t="shared" si="87"/>
        <v>43.333333333333343</v>
      </c>
    </row>
    <row r="1193" spans="1:8" x14ac:dyDescent="0.25">
      <c r="A1193" s="11">
        <v>45174</v>
      </c>
      <c r="B1193" s="7" t="s">
        <v>9</v>
      </c>
      <c r="C1193" s="8" t="s">
        <v>10</v>
      </c>
      <c r="D1193" s="8" t="s">
        <v>11</v>
      </c>
      <c r="E1193" s="9"/>
      <c r="F1193" s="14">
        <f t="shared" si="86"/>
        <v>8.6666666666666679</v>
      </c>
      <c r="H1193" s="91"/>
    </row>
    <row r="1194" spans="1:8" x14ac:dyDescent="0.25">
      <c r="A1194" s="6">
        <v>45175</v>
      </c>
      <c r="B1194" s="7" t="s">
        <v>9</v>
      </c>
      <c r="C1194" s="8" t="s">
        <v>10</v>
      </c>
      <c r="D1194" s="8" t="s">
        <v>11</v>
      </c>
      <c r="E1194" s="9"/>
      <c r="F1194" s="14">
        <f t="shared" si="86"/>
        <v>8.6666666666666679</v>
      </c>
      <c r="H1194" s="91"/>
    </row>
    <row r="1195" spans="1:8" x14ac:dyDescent="0.25">
      <c r="A1195" s="11">
        <v>45176</v>
      </c>
      <c r="B1195" s="7" t="s">
        <v>9</v>
      </c>
      <c r="C1195" s="8" t="s">
        <v>10</v>
      </c>
      <c r="D1195" s="8" t="s">
        <v>11</v>
      </c>
      <c r="E1195" s="9"/>
      <c r="F1195" s="14">
        <f t="shared" si="86"/>
        <v>8.6666666666666679</v>
      </c>
      <c r="H1195" s="91"/>
    </row>
    <row r="1196" spans="1:8" x14ac:dyDescent="0.25">
      <c r="A1196" s="6">
        <v>45177</v>
      </c>
      <c r="B1196" s="7" t="s">
        <v>9</v>
      </c>
      <c r="C1196" s="8" t="s">
        <v>10</v>
      </c>
      <c r="D1196" s="8" t="s">
        <v>11</v>
      </c>
      <c r="E1196" s="9"/>
      <c r="F1196" s="14">
        <f t="shared" si="86"/>
        <v>8.6666666666666679</v>
      </c>
      <c r="H1196" s="91"/>
    </row>
    <row r="1197" spans="1:8" x14ac:dyDescent="0.25">
      <c r="A1197" s="11">
        <v>45178</v>
      </c>
      <c r="B1197" s="7" t="s">
        <v>8</v>
      </c>
      <c r="C1197" s="8"/>
      <c r="D1197" s="8"/>
      <c r="E1197" s="9"/>
      <c r="F1197" s="14" t="str">
        <f t="shared" si="86"/>
        <v/>
      </c>
      <c r="H1197" s="91"/>
    </row>
    <row r="1198" spans="1:8" x14ac:dyDescent="0.25">
      <c r="A1198" s="34">
        <v>45179</v>
      </c>
      <c r="B1198" s="35" t="s">
        <v>8</v>
      </c>
      <c r="C1198" s="28"/>
      <c r="D1198" s="8"/>
      <c r="E1198" s="9"/>
      <c r="F1198" s="14" t="str">
        <f t="shared" si="86"/>
        <v/>
      </c>
      <c r="G1198" s="58"/>
      <c r="H1198" s="92"/>
    </row>
    <row r="1199" spans="1:8" x14ac:dyDescent="0.25">
      <c r="A1199" s="36">
        <v>45180</v>
      </c>
      <c r="B1199" s="31" t="s">
        <v>9</v>
      </c>
      <c r="C1199" s="32" t="s">
        <v>10</v>
      </c>
      <c r="D1199" s="8" t="s">
        <v>11</v>
      </c>
      <c r="E1199" s="9"/>
      <c r="F1199" s="14">
        <f t="shared" si="86"/>
        <v>8.6666666666666679</v>
      </c>
      <c r="G1199" s="52"/>
      <c r="H1199" s="90">
        <f t="shared" si="87"/>
        <v>34.666666666666671</v>
      </c>
    </row>
    <row r="1200" spans="1:8" x14ac:dyDescent="0.25">
      <c r="A1200" s="6">
        <v>45181</v>
      </c>
      <c r="B1200" s="7" t="s">
        <v>12</v>
      </c>
      <c r="C1200" s="8" t="s">
        <v>10</v>
      </c>
      <c r="D1200" s="8" t="s">
        <v>11</v>
      </c>
      <c r="E1200" s="9"/>
      <c r="F1200" s="14">
        <f t="shared" si="86"/>
        <v>8.6666666666666679</v>
      </c>
      <c r="H1200" s="91"/>
    </row>
    <row r="1201" spans="1:8" x14ac:dyDescent="0.25">
      <c r="A1201" s="11">
        <v>45182</v>
      </c>
      <c r="B1201" s="7" t="s">
        <v>12</v>
      </c>
      <c r="C1201" s="8" t="s">
        <v>10</v>
      </c>
      <c r="D1201" s="8" t="s">
        <v>11</v>
      </c>
      <c r="E1201" s="9"/>
      <c r="F1201" s="14">
        <f t="shared" si="86"/>
        <v>8.6666666666666679</v>
      </c>
      <c r="H1201" s="91"/>
    </row>
    <row r="1202" spans="1:8" x14ac:dyDescent="0.25">
      <c r="A1202" s="6">
        <v>45183</v>
      </c>
      <c r="B1202" s="7" t="s">
        <v>9</v>
      </c>
      <c r="C1202" s="8" t="s">
        <v>10</v>
      </c>
      <c r="D1202" s="8" t="s">
        <v>11</v>
      </c>
      <c r="E1202" s="9"/>
      <c r="F1202" s="14">
        <f t="shared" si="86"/>
        <v>8.6666666666666679</v>
      </c>
      <c r="H1202" s="91"/>
    </row>
    <row r="1203" spans="1:8" x14ac:dyDescent="0.25">
      <c r="A1203" s="11">
        <v>45184</v>
      </c>
      <c r="B1203" s="7" t="s">
        <v>14</v>
      </c>
      <c r="C1203" s="8"/>
      <c r="D1203" s="8"/>
      <c r="E1203" s="9"/>
      <c r="F1203" s="14" t="str">
        <f t="shared" si="86"/>
        <v/>
      </c>
      <c r="H1203" s="91"/>
    </row>
    <row r="1204" spans="1:8" x14ac:dyDescent="0.25">
      <c r="A1204" s="6">
        <v>45185</v>
      </c>
      <c r="B1204" s="7" t="s">
        <v>8</v>
      </c>
      <c r="C1204" s="8"/>
      <c r="D1204" s="8"/>
      <c r="E1204" s="9"/>
      <c r="F1204" s="14" t="str">
        <f t="shared" si="86"/>
        <v/>
      </c>
      <c r="H1204" s="91"/>
    </row>
    <row r="1205" spans="1:8" x14ac:dyDescent="0.25">
      <c r="A1205" s="43">
        <v>45186</v>
      </c>
      <c r="B1205" s="35" t="s">
        <v>8</v>
      </c>
      <c r="C1205" s="28"/>
      <c r="D1205" s="8"/>
      <c r="E1205" s="9"/>
      <c r="F1205" s="14" t="str">
        <f t="shared" si="86"/>
        <v/>
      </c>
      <c r="G1205" s="58"/>
      <c r="H1205" s="92"/>
    </row>
    <row r="1206" spans="1:8" x14ac:dyDescent="0.25">
      <c r="A1206" s="30">
        <v>45187</v>
      </c>
      <c r="B1206" s="31" t="s">
        <v>8</v>
      </c>
      <c r="C1206" s="32"/>
      <c r="D1206" s="8"/>
      <c r="E1206" s="9"/>
      <c r="F1206" s="14" t="str">
        <f t="shared" si="86"/>
        <v/>
      </c>
      <c r="G1206" s="52"/>
      <c r="H1206" s="90">
        <f t="shared" si="87"/>
        <v>34.666666666666671</v>
      </c>
    </row>
    <row r="1207" spans="1:8" x14ac:dyDescent="0.25">
      <c r="A1207" s="11">
        <v>45188</v>
      </c>
      <c r="B1207" s="7" t="s">
        <v>9</v>
      </c>
      <c r="C1207" s="8" t="s">
        <v>10</v>
      </c>
      <c r="D1207" s="8" t="s">
        <v>11</v>
      </c>
      <c r="E1207" s="9"/>
      <c r="F1207" s="14">
        <f t="shared" si="86"/>
        <v>8.6666666666666679</v>
      </c>
      <c r="H1207" s="91"/>
    </row>
    <row r="1208" spans="1:8" x14ac:dyDescent="0.25">
      <c r="A1208" s="6">
        <v>45189</v>
      </c>
      <c r="B1208" s="7" t="s">
        <v>9</v>
      </c>
      <c r="C1208" s="8" t="s">
        <v>10</v>
      </c>
      <c r="D1208" s="8" t="s">
        <v>11</v>
      </c>
      <c r="E1208" s="9"/>
      <c r="F1208" s="14">
        <f t="shared" si="86"/>
        <v>8.6666666666666679</v>
      </c>
      <c r="H1208" s="91"/>
    </row>
    <row r="1209" spans="1:8" x14ac:dyDescent="0.25">
      <c r="A1209" s="11">
        <v>45190</v>
      </c>
      <c r="B1209" s="7" t="s">
        <v>12</v>
      </c>
      <c r="C1209" s="8" t="s">
        <v>10</v>
      </c>
      <c r="D1209" s="8" t="s">
        <v>11</v>
      </c>
      <c r="E1209" s="9"/>
      <c r="F1209" s="14">
        <f t="shared" si="86"/>
        <v>8.6666666666666679</v>
      </c>
      <c r="H1209" s="91"/>
    </row>
    <row r="1210" spans="1:8" x14ac:dyDescent="0.25">
      <c r="A1210" s="6">
        <v>45191</v>
      </c>
      <c r="B1210" s="7" t="s">
        <v>12</v>
      </c>
      <c r="C1210" s="8" t="s">
        <v>10</v>
      </c>
      <c r="D1210" s="8" t="s">
        <v>11</v>
      </c>
      <c r="E1210" s="9"/>
      <c r="F1210" s="14">
        <f t="shared" si="86"/>
        <v>8.6666666666666679</v>
      </c>
      <c r="H1210" s="91"/>
    </row>
    <row r="1211" spans="1:8" x14ac:dyDescent="0.25">
      <c r="A1211" s="11">
        <v>45192</v>
      </c>
      <c r="B1211" s="7" t="s">
        <v>8</v>
      </c>
      <c r="C1211" s="8"/>
      <c r="D1211" s="8"/>
      <c r="E1211" s="9"/>
      <c r="F1211" s="14" t="str">
        <f t="shared" si="86"/>
        <v/>
      </c>
      <c r="H1211" s="91"/>
    </row>
    <row r="1212" spans="1:8" x14ac:dyDescent="0.25">
      <c r="A1212" s="34">
        <v>45193</v>
      </c>
      <c r="B1212" s="35" t="s">
        <v>8</v>
      </c>
      <c r="C1212" s="28"/>
      <c r="D1212" s="8"/>
      <c r="E1212" s="9"/>
      <c r="F1212" s="14" t="str">
        <f t="shared" si="86"/>
        <v/>
      </c>
      <c r="G1212" s="58"/>
      <c r="H1212" s="92"/>
    </row>
    <row r="1213" spans="1:8" x14ac:dyDescent="0.25">
      <c r="A1213" s="36">
        <v>45194</v>
      </c>
      <c r="B1213" s="31" t="s">
        <v>14</v>
      </c>
      <c r="C1213" s="32"/>
      <c r="D1213" s="8"/>
      <c r="E1213" s="9"/>
      <c r="F1213" s="14" t="str">
        <f t="shared" si="86"/>
        <v/>
      </c>
      <c r="G1213" s="52"/>
      <c r="H1213" s="90">
        <f t="shared" si="87"/>
        <v>34.666666666666671</v>
      </c>
    </row>
    <row r="1214" spans="1:8" x14ac:dyDescent="0.25">
      <c r="A1214" s="6">
        <v>45195</v>
      </c>
      <c r="B1214" s="7" t="s">
        <v>9</v>
      </c>
      <c r="C1214" s="8" t="s">
        <v>10</v>
      </c>
      <c r="D1214" s="8" t="s">
        <v>11</v>
      </c>
      <c r="E1214" s="9"/>
      <c r="F1214" s="14">
        <f t="shared" si="86"/>
        <v>8.6666666666666679</v>
      </c>
      <c r="H1214" s="91"/>
    </row>
    <row r="1215" spans="1:8" x14ac:dyDescent="0.25">
      <c r="A1215" s="11">
        <v>45196</v>
      </c>
      <c r="B1215" s="7" t="s">
        <v>9</v>
      </c>
      <c r="C1215" s="8" t="s">
        <v>10</v>
      </c>
      <c r="D1215" s="8" t="s">
        <v>11</v>
      </c>
      <c r="E1215" s="9"/>
      <c r="F1215" s="14">
        <f t="shared" si="86"/>
        <v>8.6666666666666679</v>
      </c>
      <c r="H1215" s="91"/>
    </row>
    <row r="1216" spans="1:8" x14ac:dyDescent="0.25">
      <c r="A1216" s="6">
        <v>45197</v>
      </c>
      <c r="B1216" s="7" t="s">
        <v>12</v>
      </c>
      <c r="C1216" s="8" t="s">
        <v>10</v>
      </c>
      <c r="D1216" s="8" t="s">
        <v>11</v>
      </c>
      <c r="E1216" s="9"/>
      <c r="F1216" s="14">
        <f t="shared" si="86"/>
        <v>8.6666666666666679</v>
      </c>
      <c r="H1216" s="91"/>
    </row>
    <row r="1217" spans="1:8" x14ac:dyDescent="0.25">
      <c r="A1217" s="11">
        <v>45198</v>
      </c>
      <c r="B1217" s="7" t="s">
        <v>12</v>
      </c>
      <c r="C1217" s="8" t="s">
        <v>10</v>
      </c>
      <c r="D1217" s="8" t="s">
        <v>11</v>
      </c>
      <c r="E1217" s="9"/>
      <c r="F1217" s="14">
        <f t="shared" si="86"/>
        <v>8.6666666666666679</v>
      </c>
      <c r="H1217" s="91"/>
    </row>
    <row r="1218" spans="1:8" x14ac:dyDescent="0.25">
      <c r="A1218" s="6">
        <v>45199</v>
      </c>
      <c r="B1218" s="7" t="s">
        <v>8</v>
      </c>
      <c r="C1218" s="8"/>
      <c r="D1218" s="8"/>
      <c r="E1218" s="9"/>
      <c r="F1218" s="14" t="str">
        <f t="shared" si="86"/>
        <v/>
      </c>
      <c r="H1218" s="91"/>
    </row>
    <row r="1219" spans="1:8" x14ac:dyDescent="0.25">
      <c r="A1219" s="43">
        <v>45200</v>
      </c>
      <c r="B1219" s="35" t="s">
        <v>13</v>
      </c>
      <c r="C1219" s="28"/>
      <c r="D1219" s="8"/>
      <c r="E1219" s="9"/>
      <c r="F1219" s="14" t="str">
        <f t="shared" si="86"/>
        <v/>
      </c>
      <c r="G1219" s="58"/>
      <c r="H1219" s="92"/>
    </row>
    <row r="1220" spans="1:8" x14ac:dyDescent="0.25">
      <c r="A1220" s="30" t="s">
        <v>16</v>
      </c>
      <c r="B1220" s="31" t="s">
        <v>8</v>
      </c>
      <c r="C1220" s="32"/>
      <c r="D1220" s="8"/>
      <c r="E1220" s="9"/>
      <c r="F1220" s="14" t="str">
        <f t="shared" si="86"/>
        <v/>
      </c>
      <c r="G1220" s="52"/>
      <c r="H1220" s="90">
        <f t="shared" si="87"/>
        <v>34.666666666666671</v>
      </c>
    </row>
    <row r="1221" spans="1:8" x14ac:dyDescent="0.25">
      <c r="A1221" s="11">
        <v>45202</v>
      </c>
      <c r="B1221" s="61" t="s">
        <v>12</v>
      </c>
      <c r="C1221" s="8" t="s">
        <v>10</v>
      </c>
      <c r="D1221" s="8" t="s">
        <v>11</v>
      </c>
      <c r="E1221" s="9"/>
      <c r="F1221" s="14">
        <f t="shared" ref="F1221:F1254" si="88">IF(C1221="", "", IF(D1221="", "", (D1221-C1221)*24 - E1221))</f>
        <v>8.6666666666666679</v>
      </c>
      <c r="H1221" s="91"/>
    </row>
    <row r="1222" spans="1:8" x14ac:dyDescent="0.25">
      <c r="A1222" s="6">
        <v>45203</v>
      </c>
      <c r="B1222" s="61" t="s">
        <v>12</v>
      </c>
      <c r="C1222" s="8" t="s">
        <v>10</v>
      </c>
      <c r="D1222" s="8" t="s">
        <v>11</v>
      </c>
      <c r="E1222" s="9"/>
      <c r="F1222" s="14">
        <f t="shared" si="88"/>
        <v>8.6666666666666679</v>
      </c>
      <c r="H1222" s="91"/>
    </row>
    <row r="1223" spans="1:8" x14ac:dyDescent="0.25">
      <c r="A1223" s="11">
        <v>45204</v>
      </c>
      <c r="B1223" s="7" t="s">
        <v>9</v>
      </c>
      <c r="C1223" s="8" t="s">
        <v>10</v>
      </c>
      <c r="D1223" s="8" t="s">
        <v>11</v>
      </c>
      <c r="E1223" s="9"/>
      <c r="F1223" s="14">
        <f t="shared" si="88"/>
        <v>8.6666666666666679</v>
      </c>
      <c r="H1223" s="91"/>
    </row>
    <row r="1224" spans="1:8" x14ac:dyDescent="0.25">
      <c r="A1224" s="6">
        <v>45205</v>
      </c>
      <c r="B1224" s="7" t="s">
        <v>9</v>
      </c>
      <c r="C1224" s="8" t="s">
        <v>10</v>
      </c>
      <c r="D1224" s="8" t="s">
        <v>11</v>
      </c>
      <c r="E1224" s="9"/>
      <c r="F1224" s="14">
        <f t="shared" si="88"/>
        <v>8.6666666666666679</v>
      </c>
      <c r="H1224" s="91"/>
    </row>
    <row r="1225" spans="1:8" x14ac:dyDescent="0.25">
      <c r="A1225" s="11">
        <v>45206</v>
      </c>
      <c r="B1225" s="7" t="s">
        <v>8</v>
      </c>
      <c r="C1225" s="8"/>
      <c r="D1225" s="8"/>
      <c r="E1225" s="9"/>
      <c r="F1225" s="14" t="str">
        <f t="shared" si="88"/>
        <v/>
      </c>
      <c r="H1225" s="91"/>
    </row>
    <row r="1226" spans="1:8" x14ac:dyDescent="0.25">
      <c r="A1226" s="34">
        <v>45207</v>
      </c>
      <c r="B1226" s="35" t="s">
        <v>8</v>
      </c>
      <c r="C1226" s="28"/>
      <c r="D1226" s="8"/>
      <c r="E1226" s="9"/>
      <c r="F1226" s="14" t="str">
        <f t="shared" si="88"/>
        <v/>
      </c>
      <c r="G1226" s="58"/>
      <c r="H1226" s="92"/>
    </row>
    <row r="1227" spans="1:8" x14ac:dyDescent="0.25">
      <c r="A1227" s="36">
        <v>45208</v>
      </c>
      <c r="B1227" s="31" t="s">
        <v>14</v>
      </c>
      <c r="C1227" s="32"/>
      <c r="D1227" s="8"/>
      <c r="E1227" s="9"/>
      <c r="F1227" s="14" t="str">
        <f t="shared" si="88"/>
        <v/>
      </c>
      <c r="G1227" s="52"/>
      <c r="H1227" s="90">
        <f t="shared" ref="H1227" si="89">SUM(F1227:G1233)</f>
        <v>36.5</v>
      </c>
    </row>
    <row r="1228" spans="1:8" x14ac:dyDescent="0.25">
      <c r="A1228" s="6">
        <v>45209</v>
      </c>
      <c r="B1228" s="61" t="s">
        <v>9</v>
      </c>
      <c r="C1228" s="8">
        <v>0.23958333333333334</v>
      </c>
      <c r="D1228" s="8">
        <v>0.64583333333333337</v>
      </c>
      <c r="E1228" s="9"/>
      <c r="F1228" s="14">
        <f t="shared" si="88"/>
        <v>9.75</v>
      </c>
      <c r="H1228" s="91"/>
    </row>
    <row r="1229" spans="1:8" x14ac:dyDescent="0.25">
      <c r="A1229" s="11">
        <v>45210</v>
      </c>
      <c r="B1229" s="7" t="s">
        <v>12</v>
      </c>
      <c r="C1229" s="8">
        <v>0.25694444444444448</v>
      </c>
      <c r="D1229" s="8">
        <v>0.625</v>
      </c>
      <c r="E1229" s="9"/>
      <c r="F1229" s="14">
        <f t="shared" si="88"/>
        <v>8.8333333333333321</v>
      </c>
      <c r="H1229" s="91"/>
    </row>
    <row r="1230" spans="1:8" x14ac:dyDescent="0.25">
      <c r="A1230" s="6">
        <v>45211</v>
      </c>
      <c r="B1230" s="7" t="s">
        <v>12</v>
      </c>
      <c r="C1230" s="8">
        <v>0.24305555555555555</v>
      </c>
      <c r="D1230" s="8" t="s">
        <v>11</v>
      </c>
      <c r="E1230" s="9"/>
      <c r="F1230" s="14">
        <f t="shared" si="88"/>
        <v>9.6666666666666679</v>
      </c>
      <c r="H1230" s="91"/>
    </row>
    <row r="1231" spans="1:8" x14ac:dyDescent="0.25">
      <c r="A1231" s="11">
        <v>45212</v>
      </c>
      <c r="B1231" s="61" t="s">
        <v>9</v>
      </c>
      <c r="C1231" s="8">
        <v>0.23958333333333334</v>
      </c>
      <c r="D1231" s="8">
        <v>0.58333333333333337</v>
      </c>
      <c r="E1231" s="9"/>
      <c r="F1231" s="14">
        <f t="shared" si="88"/>
        <v>8.25</v>
      </c>
      <c r="H1231" s="91"/>
    </row>
    <row r="1232" spans="1:8" x14ac:dyDescent="0.25">
      <c r="A1232" s="6">
        <v>45213</v>
      </c>
      <c r="B1232" s="7" t="s">
        <v>8</v>
      </c>
      <c r="C1232" s="8"/>
      <c r="D1232" s="8"/>
      <c r="E1232" s="9"/>
      <c r="F1232" s="14" t="str">
        <f t="shared" si="88"/>
        <v/>
      </c>
      <c r="H1232" s="91"/>
    </row>
    <row r="1233" spans="1:11" x14ac:dyDescent="0.25">
      <c r="A1233" s="43">
        <v>45214</v>
      </c>
      <c r="B1233" s="7" t="s">
        <v>8</v>
      </c>
      <c r="C1233" s="28"/>
      <c r="D1233" s="8"/>
      <c r="E1233" s="9"/>
      <c r="F1233" s="14" t="str">
        <f t="shared" si="88"/>
        <v/>
      </c>
      <c r="G1233" s="58"/>
      <c r="H1233" s="92"/>
    </row>
    <row r="1234" spans="1:11" x14ac:dyDescent="0.25">
      <c r="A1234" s="23">
        <v>45215</v>
      </c>
      <c r="B1234" s="31" t="s">
        <v>12</v>
      </c>
      <c r="C1234" s="32">
        <v>0.23958333333333334</v>
      </c>
      <c r="D1234" s="8">
        <v>0.64583333333333337</v>
      </c>
      <c r="E1234" s="9"/>
      <c r="F1234" s="14">
        <f t="shared" si="88"/>
        <v>9.75</v>
      </c>
      <c r="H1234" s="90">
        <f t="shared" ref="H1234" si="90">SUM(F1234:G1240)</f>
        <v>45.916666666666664</v>
      </c>
    </row>
    <row r="1235" spans="1:11" x14ac:dyDescent="0.25">
      <c r="A1235" s="11">
        <v>45216</v>
      </c>
      <c r="B1235" s="7" t="s">
        <v>12</v>
      </c>
      <c r="C1235" s="8">
        <v>0.24305555555555555</v>
      </c>
      <c r="D1235" s="8" t="s">
        <v>11</v>
      </c>
      <c r="E1235" s="9"/>
      <c r="F1235" s="14">
        <f t="shared" si="88"/>
        <v>9.6666666666666679</v>
      </c>
      <c r="H1235" s="91"/>
    </row>
    <row r="1236" spans="1:11" x14ac:dyDescent="0.25">
      <c r="A1236" s="6">
        <v>45217</v>
      </c>
      <c r="B1236" s="7" t="s">
        <v>9</v>
      </c>
      <c r="C1236" s="8">
        <v>0.24652777777777779</v>
      </c>
      <c r="D1236" s="8" t="s">
        <v>11</v>
      </c>
      <c r="E1236" s="9"/>
      <c r="F1236" s="14">
        <f t="shared" si="88"/>
        <v>9.5833333333333339</v>
      </c>
      <c r="H1236" s="91"/>
    </row>
    <row r="1237" spans="1:11" x14ac:dyDescent="0.25">
      <c r="A1237" s="11">
        <v>45218</v>
      </c>
      <c r="B1237" s="7" t="s">
        <v>9</v>
      </c>
      <c r="C1237" s="8">
        <v>0.25</v>
      </c>
      <c r="D1237" s="8" t="s">
        <v>11</v>
      </c>
      <c r="E1237" s="9"/>
      <c r="F1237" s="14">
        <f t="shared" si="88"/>
        <v>9.5</v>
      </c>
      <c r="H1237" s="91"/>
    </row>
    <row r="1238" spans="1:11" x14ac:dyDescent="0.25">
      <c r="A1238" s="6">
        <v>45219</v>
      </c>
      <c r="B1238" s="7" t="s">
        <v>9</v>
      </c>
      <c r="C1238" s="8">
        <v>0.23263888888888887</v>
      </c>
      <c r="D1238" s="8">
        <v>0.54166666666666663</v>
      </c>
      <c r="E1238" s="9"/>
      <c r="F1238" s="14">
        <f t="shared" si="88"/>
        <v>7.416666666666667</v>
      </c>
      <c r="H1238" s="91"/>
    </row>
    <row r="1239" spans="1:11" x14ac:dyDescent="0.25">
      <c r="A1239" s="11">
        <v>45220</v>
      </c>
      <c r="B1239" s="7" t="s">
        <v>8</v>
      </c>
      <c r="C1239" s="8"/>
      <c r="D1239" s="8"/>
      <c r="E1239" s="9"/>
      <c r="F1239" s="14" t="str">
        <f t="shared" si="88"/>
        <v/>
      </c>
      <c r="H1239" s="91"/>
    </row>
    <row r="1240" spans="1:11" x14ac:dyDescent="0.25">
      <c r="A1240" s="6">
        <v>45221</v>
      </c>
      <c r="B1240" s="35" t="s">
        <v>8</v>
      </c>
      <c r="C1240" s="28"/>
      <c r="D1240" s="8"/>
      <c r="E1240" s="9"/>
      <c r="F1240" s="14" t="str">
        <f t="shared" si="88"/>
        <v/>
      </c>
      <c r="G1240" s="58"/>
      <c r="H1240" s="92"/>
    </row>
    <row r="1241" spans="1:11" x14ac:dyDescent="0.25">
      <c r="A1241" s="11">
        <v>45222</v>
      </c>
      <c r="B1241" s="31" t="s">
        <v>14</v>
      </c>
      <c r="C1241" s="32"/>
      <c r="D1241" s="8"/>
      <c r="E1241" s="9"/>
      <c r="F1241" s="14" t="str">
        <f t="shared" si="88"/>
        <v/>
      </c>
      <c r="H1241" s="90">
        <f t="shared" ref="H1241" si="91">SUM(F1241:G1247)</f>
        <v>55.583333333333343</v>
      </c>
    </row>
    <row r="1242" spans="1:11" x14ac:dyDescent="0.25">
      <c r="A1242" s="6">
        <v>45223</v>
      </c>
      <c r="B1242" s="7" t="s">
        <v>9</v>
      </c>
      <c r="C1242" s="8">
        <v>0.22916666666666666</v>
      </c>
      <c r="D1242" s="8" t="s">
        <v>11</v>
      </c>
      <c r="E1242" s="9"/>
      <c r="F1242" s="14">
        <f t="shared" si="88"/>
        <v>10.000000000000002</v>
      </c>
      <c r="H1242" s="91"/>
    </row>
    <row r="1243" spans="1:11" x14ac:dyDescent="0.25">
      <c r="A1243" s="11">
        <v>45224</v>
      </c>
      <c r="B1243" s="7" t="s">
        <v>12</v>
      </c>
      <c r="C1243" s="8">
        <v>0.23958333333333334</v>
      </c>
      <c r="D1243" s="8" t="s">
        <v>11</v>
      </c>
      <c r="E1243" s="9"/>
      <c r="F1243" s="14">
        <f t="shared" si="88"/>
        <v>9.75</v>
      </c>
      <c r="H1243" s="91"/>
    </row>
    <row r="1244" spans="1:11" x14ac:dyDescent="0.25">
      <c r="A1244" s="6">
        <v>45225</v>
      </c>
      <c r="B1244" s="7" t="s">
        <v>9</v>
      </c>
      <c r="C1244" s="8">
        <v>0.22916666666666666</v>
      </c>
      <c r="D1244" s="8" t="s">
        <v>11</v>
      </c>
      <c r="E1244" s="9"/>
      <c r="F1244" s="14">
        <f t="shared" si="88"/>
        <v>10.000000000000002</v>
      </c>
      <c r="H1244" s="91"/>
    </row>
    <row r="1245" spans="1:11" x14ac:dyDescent="0.25">
      <c r="A1245" s="11">
        <v>45226</v>
      </c>
      <c r="B1245" s="7" t="s">
        <v>12</v>
      </c>
      <c r="C1245" s="8">
        <v>0.23611111111111113</v>
      </c>
      <c r="D1245" s="8">
        <v>0.59027777777777779</v>
      </c>
      <c r="E1245" s="9"/>
      <c r="F1245" s="14">
        <f t="shared" si="88"/>
        <v>8.5</v>
      </c>
      <c r="H1245" s="91"/>
    </row>
    <row r="1246" spans="1:11" x14ac:dyDescent="0.25">
      <c r="A1246" s="6">
        <v>45227</v>
      </c>
      <c r="B1246" s="7" t="s">
        <v>15</v>
      </c>
      <c r="C1246" s="8" t="s">
        <v>10</v>
      </c>
      <c r="D1246" s="8" t="s">
        <v>11</v>
      </c>
      <c r="E1246" s="9"/>
      <c r="F1246" s="14">
        <f t="shared" si="88"/>
        <v>8.6666666666666679</v>
      </c>
      <c r="H1246" s="91"/>
    </row>
    <row r="1247" spans="1:11" x14ac:dyDescent="0.25">
      <c r="A1247" s="11">
        <v>45228</v>
      </c>
      <c r="B1247" s="7" t="s">
        <v>15</v>
      </c>
      <c r="C1247" s="8" t="s">
        <v>10</v>
      </c>
      <c r="D1247" s="8" t="s">
        <v>11</v>
      </c>
      <c r="E1247" s="9"/>
      <c r="F1247" s="14">
        <f t="shared" si="88"/>
        <v>8.6666666666666679</v>
      </c>
      <c r="H1247" s="91"/>
    </row>
    <row r="1248" spans="1:11" x14ac:dyDescent="0.25">
      <c r="A1248" s="30">
        <v>45229</v>
      </c>
      <c r="B1248" s="7" t="s">
        <v>9</v>
      </c>
      <c r="C1248" s="32">
        <v>0.22916666666666666</v>
      </c>
      <c r="D1248" s="8" t="s">
        <v>11</v>
      </c>
      <c r="E1248" s="9"/>
      <c r="F1248" s="14">
        <f t="shared" si="88"/>
        <v>10.000000000000002</v>
      </c>
      <c r="G1248" s="52">
        <v>2</v>
      </c>
      <c r="H1248" s="90">
        <f t="shared" ref="H1248" si="92">SUM(F1248:G1254)</f>
        <v>58.166666666666671</v>
      </c>
      <c r="J1248">
        <f>SUM(G1332:G1334,G1339:G1343,G1346:G1350,G1353:G1357,G1403:G1406, G1409:G1413)</f>
        <v>31.5</v>
      </c>
      <c r="K1248">
        <f>SUM(G1248:G1252,G1256:G1259,G1502:G1504,G1508:G1511,G1507)</f>
        <v>31</v>
      </c>
    </row>
    <row r="1249" spans="1:11" x14ac:dyDescent="0.25">
      <c r="A1249" s="11">
        <v>45230</v>
      </c>
      <c r="B1249" s="7" t="s">
        <v>9</v>
      </c>
      <c r="C1249" s="8">
        <v>0.22916666666666666</v>
      </c>
      <c r="D1249" s="8" t="s">
        <v>11</v>
      </c>
      <c r="E1249" s="9"/>
      <c r="F1249" s="14">
        <f t="shared" si="88"/>
        <v>10.000000000000002</v>
      </c>
      <c r="H1249" s="91"/>
    </row>
    <row r="1250" spans="1:11" x14ac:dyDescent="0.25">
      <c r="A1250" s="6">
        <v>45231</v>
      </c>
      <c r="B1250" s="7" t="s">
        <v>9</v>
      </c>
      <c r="C1250" s="8">
        <v>0.22222222222222221</v>
      </c>
      <c r="D1250" s="8" t="s">
        <v>11</v>
      </c>
      <c r="E1250" s="9"/>
      <c r="F1250" s="14">
        <f t="shared" si="88"/>
        <v>10.166666666666668</v>
      </c>
      <c r="G1250">
        <v>1</v>
      </c>
      <c r="H1250" s="91"/>
      <c r="J1250">
        <f>SUM(G1337:G1338,G1346,G1351,G1359,G1407,G1414:G1415)</f>
        <v>17</v>
      </c>
      <c r="K1250">
        <f>SUM(G1253:G1254,G1260:G1261,G1505:G1506,G1512:G1513)</f>
        <v>29</v>
      </c>
    </row>
    <row r="1251" spans="1:11" x14ac:dyDescent="0.25">
      <c r="A1251" s="11">
        <v>45232</v>
      </c>
      <c r="B1251" s="7" t="s">
        <v>9</v>
      </c>
      <c r="C1251" s="8">
        <v>0.22916666666666666</v>
      </c>
      <c r="D1251" s="8" t="s">
        <v>11</v>
      </c>
      <c r="E1251" s="9"/>
      <c r="F1251" s="14">
        <f t="shared" si="88"/>
        <v>10.000000000000002</v>
      </c>
      <c r="H1251" s="91"/>
    </row>
    <row r="1252" spans="1:11" x14ac:dyDescent="0.25">
      <c r="A1252" s="6">
        <v>45233</v>
      </c>
      <c r="B1252" s="7" t="s">
        <v>9</v>
      </c>
      <c r="C1252" s="8">
        <v>0.22916666666666666</v>
      </c>
      <c r="D1252" s="8">
        <v>0.58333333333333337</v>
      </c>
      <c r="E1252" s="9"/>
      <c r="F1252" s="14">
        <f t="shared" si="88"/>
        <v>8.5000000000000018</v>
      </c>
      <c r="G1252">
        <v>2.5</v>
      </c>
      <c r="H1252" s="91"/>
      <c r="J1252">
        <f>SUM(G1404,G1336)</f>
        <v>2</v>
      </c>
      <c r="K1252">
        <v>0</v>
      </c>
    </row>
    <row r="1253" spans="1:11" x14ac:dyDescent="0.25">
      <c r="A1253" s="11">
        <v>45234</v>
      </c>
      <c r="B1253" s="7" t="s">
        <v>15</v>
      </c>
      <c r="C1253" s="8"/>
      <c r="D1253" s="8"/>
      <c r="E1253" s="9"/>
      <c r="F1253" s="14" t="str">
        <f t="shared" si="88"/>
        <v/>
      </c>
      <c r="G1253">
        <v>1</v>
      </c>
      <c r="H1253" s="91"/>
    </row>
    <row r="1254" spans="1:11" x14ac:dyDescent="0.25">
      <c r="A1254" s="34">
        <v>45235</v>
      </c>
      <c r="B1254" s="35" t="s">
        <v>15</v>
      </c>
      <c r="C1254" s="28"/>
      <c r="D1254" s="8"/>
      <c r="E1254" s="9"/>
      <c r="F1254" s="14" t="str">
        <f t="shared" si="88"/>
        <v/>
      </c>
      <c r="G1254" s="58">
        <v>3</v>
      </c>
      <c r="H1254" s="92"/>
    </row>
    <row r="1255" spans="1:11" x14ac:dyDescent="0.25">
      <c r="A1255" s="36">
        <v>45236</v>
      </c>
      <c r="B1255" s="31" t="s">
        <v>14</v>
      </c>
      <c r="C1255" s="32"/>
      <c r="D1255" s="8"/>
      <c r="E1255" s="9"/>
      <c r="F1255" s="62"/>
      <c r="G1255" s="52"/>
      <c r="H1255" s="90">
        <f t="shared" ref="H1255" si="93">SUM(F1255:G1261)</f>
        <v>46.166666666666671</v>
      </c>
    </row>
    <row r="1256" spans="1:11" x14ac:dyDescent="0.25">
      <c r="A1256" s="6">
        <v>45237</v>
      </c>
      <c r="B1256" s="7" t="s">
        <v>9</v>
      </c>
      <c r="C1256" s="8">
        <v>0.22916666666666666</v>
      </c>
      <c r="D1256" s="8" t="s">
        <v>11</v>
      </c>
      <c r="E1256" s="9"/>
      <c r="F1256" s="14">
        <f t="shared" ref="F1256:F1304" si="94">IF(AND(C1256&lt;&gt;"", D1256&lt;&gt;""), (D1256-C1256)*24, "")</f>
        <v>10.000000000000002</v>
      </c>
      <c r="G1256">
        <v>1</v>
      </c>
      <c r="H1256" s="91"/>
    </row>
    <row r="1257" spans="1:11" x14ac:dyDescent="0.25">
      <c r="A1257" s="11">
        <v>45238</v>
      </c>
      <c r="B1257" s="7" t="s">
        <v>8</v>
      </c>
      <c r="C1257" s="8">
        <v>0.28472222222222221</v>
      </c>
      <c r="D1257" s="8">
        <v>0.64583333333333337</v>
      </c>
      <c r="E1257" s="9"/>
      <c r="F1257" s="14">
        <f t="shared" si="94"/>
        <v>8.6666666666666679</v>
      </c>
      <c r="H1257" s="91"/>
    </row>
    <row r="1258" spans="1:11" x14ac:dyDescent="0.25">
      <c r="A1258" s="6">
        <v>45239</v>
      </c>
      <c r="B1258" s="7" t="s">
        <v>9</v>
      </c>
      <c r="C1258" s="8">
        <v>0.22916666666666666</v>
      </c>
      <c r="D1258" s="8" t="s">
        <v>11</v>
      </c>
      <c r="E1258" s="9"/>
      <c r="F1258" s="14">
        <f t="shared" si="94"/>
        <v>10.000000000000002</v>
      </c>
      <c r="G1258">
        <v>2</v>
      </c>
      <c r="H1258" s="91"/>
    </row>
    <row r="1259" spans="1:11" x14ac:dyDescent="0.25">
      <c r="A1259" s="11">
        <v>45240</v>
      </c>
      <c r="B1259" s="7" t="s">
        <v>9</v>
      </c>
      <c r="C1259" s="8">
        <v>0.22916666666666666</v>
      </c>
      <c r="D1259" s="8">
        <v>0.58333333333333337</v>
      </c>
      <c r="E1259" s="9"/>
      <c r="F1259" s="14">
        <f t="shared" si="94"/>
        <v>8.5000000000000018</v>
      </c>
      <c r="G1259">
        <v>2</v>
      </c>
      <c r="H1259" s="91"/>
    </row>
    <row r="1260" spans="1:11" x14ac:dyDescent="0.25">
      <c r="A1260" s="6">
        <v>45241</v>
      </c>
      <c r="B1260" s="7" t="s">
        <v>15</v>
      </c>
      <c r="C1260" s="8"/>
      <c r="D1260" s="8"/>
      <c r="E1260" s="9"/>
      <c r="F1260" s="14" t="str">
        <f t="shared" si="94"/>
        <v/>
      </c>
      <c r="G1260">
        <v>2</v>
      </c>
      <c r="H1260" s="91"/>
    </row>
    <row r="1261" spans="1:11" x14ac:dyDescent="0.25">
      <c r="A1261" s="43">
        <v>45242</v>
      </c>
      <c r="B1261" s="35" t="s">
        <v>15</v>
      </c>
      <c r="C1261" s="28"/>
      <c r="D1261" s="8"/>
      <c r="E1261" s="9"/>
      <c r="F1261" s="49" t="str">
        <f t="shared" si="94"/>
        <v/>
      </c>
      <c r="G1261" s="58">
        <v>2</v>
      </c>
      <c r="H1261" s="92"/>
    </row>
    <row r="1262" spans="1:11" x14ac:dyDescent="0.25">
      <c r="A1262" s="30">
        <v>45243</v>
      </c>
      <c r="B1262" s="7" t="s">
        <v>9</v>
      </c>
      <c r="C1262" s="32">
        <v>0.22916666666666666</v>
      </c>
      <c r="D1262" s="8">
        <v>0.66666666666666663</v>
      </c>
      <c r="E1262" s="9"/>
      <c r="F1262" s="62">
        <f t="shared" si="94"/>
        <v>10.5</v>
      </c>
      <c r="H1262" s="90">
        <f t="shared" ref="H1262" si="95">SUM(F1262:G1268)</f>
        <v>48</v>
      </c>
    </row>
    <row r="1263" spans="1:11" x14ac:dyDescent="0.25">
      <c r="A1263" s="11">
        <v>45244</v>
      </c>
      <c r="B1263" s="61" t="s">
        <v>12</v>
      </c>
      <c r="C1263" s="8">
        <v>0.22916666666666666</v>
      </c>
      <c r="D1263" s="8" t="s">
        <v>11</v>
      </c>
      <c r="E1263" s="9"/>
      <c r="F1263" s="14">
        <f t="shared" si="94"/>
        <v>10.000000000000002</v>
      </c>
      <c r="H1263" s="91"/>
    </row>
    <row r="1264" spans="1:11" x14ac:dyDescent="0.25">
      <c r="A1264" s="6">
        <v>45245</v>
      </c>
      <c r="B1264" s="7" t="s">
        <v>9</v>
      </c>
      <c r="C1264" s="8">
        <v>0.22916666666666666</v>
      </c>
      <c r="D1264" s="8" t="s">
        <v>11</v>
      </c>
      <c r="E1264" s="9"/>
      <c r="F1264" s="14">
        <f t="shared" si="94"/>
        <v>10.000000000000002</v>
      </c>
      <c r="H1264" s="91"/>
    </row>
    <row r="1265" spans="1:8" x14ac:dyDescent="0.25">
      <c r="A1265" s="11">
        <v>45246</v>
      </c>
      <c r="B1265" s="61" t="s">
        <v>12</v>
      </c>
      <c r="C1265" s="8">
        <v>0.22916666666666666</v>
      </c>
      <c r="D1265" s="8" t="s">
        <v>11</v>
      </c>
      <c r="E1265" s="9"/>
      <c r="F1265" s="14">
        <f t="shared" si="94"/>
        <v>10.000000000000002</v>
      </c>
      <c r="H1265" s="91"/>
    </row>
    <row r="1266" spans="1:8" x14ac:dyDescent="0.25">
      <c r="A1266" s="6">
        <v>45247</v>
      </c>
      <c r="B1266" s="7" t="s">
        <v>9</v>
      </c>
      <c r="C1266" s="8">
        <v>0.22916666666666666</v>
      </c>
      <c r="D1266" s="8">
        <v>0.54166666666666663</v>
      </c>
      <c r="E1266" s="9"/>
      <c r="F1266" s="14">
        <f t="shared" si="94"/>
        <v>7.5</v>
      </c>
      <c r="H1266" s="91"/>
    </row>
    <row r="1267" spans="1:8" x14ac:dyDescent="0.25">
      <c r="A1267" s="11">
        <v>45248</v>
      </c>
      <c r="B1267" s="7" t="s">
        <v>8</v>
      </c>
      <c r="C1267" s="8"/>
      <c r="D1267" s="8"/>
      <c r="E1267" s="9"/>
      <c r="F1267" s="14" t="str">
        <f t="shared" si="94"/>
        <v/>
      </c>
      <c r="H1267" s="91"/>
    </row>
    <row r="1268" spans="1:8" x14ac:dyDescent="0.25">
      <c r="A1268" s="34">
        <v>45249</v>
      </c>
      <c r="B1268" s="35" t="s">
        <v>8</v>
      </c>
      <c r="C1268" s="28"/>
      <c r="D1268" s="8"/>
      <c r="E1268" s="9"/>
      <c r="F1268" s="49" t="str">
        <f t="shared" si="94"/>
        <v/>
      </c>
      <c r="G1268" s="58"/>
      <c r="H1268" s="92"/>
    </row>
    <row r="1269" spans="1:8" x14ac:dyDescent="0.25">
      <c r="A1269" s="25">
        <v>45250</v>
      </c>
      <c r="B1269" s="7" t="s">
        <v>9</v>
      </c>
      <c r="C1269" s="32">
        <v>0.22916666666666666</v>
      </c>
      <c r="D1269" s="8">
        <v>0.54166666666666663</v>
      </c>
      <c r="E1269" s="9"/>
      <c r="F1269" s="14">
        <f t="shared" si="94"/>
        <v>7.5</v>
      </c>
      <c r="H1269" s="90">
        <f>SUM(F1269:G1275)</f>
        <v>7.5</v>
      </c>
    </row>
    <row r="1270" spans="1:8" x14ac:dyDescent="0.25">
      <c r="A1270" s="6">
        <v>45251</v>
      </c>
      <c r="B1270" s="7" t="s">
        <v>8</v>
      </c>
      <c r="C1270" s="8"/>
      <c r="D1270" s="8"/>
      <c r="E1270" s="9"/>
      <c r="F1270" s="14" t="str">
        <f t="shared" si="94"/>
        <v/>
      </c>
      <c r="H1270" s="91"/>
    </row>
    <row r="1271" spans="1:8" x14ac:dyDescent="0.25">
      <c r="A1271" s="11">
        <v>45252</v>
      </c>
      <c r="B1271" s="35" t="s">
        <v>8</v>
      </c>
      <c r="C1271" s="8"/>
      <c r="D1271" s="8"/>
      <c r="E1271" s="9"/>
      <c r="F1271" s="14" t="str">
        <f t="shared" si="94"/>
        <v/>
      </c>
      <c r="H1271" s="91"/>
    </row>
    <row r="1272" spans="1:8" x14ac:dyDescent="0.25">
      <c r="A1272" s="6">
        <v>45253</v>
      </c>
      <c r="B1272" s="7" t="s">
        <v>8</v>
      </c>
      <c r="C1272" s="8"/>
      <c r="D1272" s="8"/>
      <c r="E1272" s="9"/>
      <c r="F1272" s="14" t="str">
        <f t="shared" si="94"/>
        <v/>
      </c>
      <c r="H1272" s="91"/>
    </row>
    <row r="1273" spans="1:8" x14ac:dyDescent="0.25">
      <c r="A1273" s="11">
        <v>45254</v>
      </c>
      <c r="B1273" t="s">
        <v>14</v>
      </c>
      <c r="C1273" s="8"/>
      <c r="D1273" s="8"/>
      <c r="E1273" s="9"/>
      <c r="F1273" s="14" t="str">
        <f t="shared" si="94"/>
        <v/>
      </c>
      <c r="H1273" s="91"/>
    </row>
    <row r="1274" spans="1:8" x14ac:dyDescent="0.25">
      <c r="A1274" s="6">
        <v>45255</v>
      </c>
      <c r="B1274" s="7" t="s">
        <v>8</v>
      </c>
      <c r="C1274" s="8"/>
      <c r="D1274" s="8"/>
      <c r="E1274" s="9"/>
      <c r="F1274" s="14" t="str">
        <f t="shared" si="94"/>
        <v/>
      </c>
      <c r="H1274" s="91"/>
    </row>
    <row r="1275" spans="1:8" x14ac:dyDescent="0.25">
      <c r="A1275" s="11">
        <v>45256</v>
      </c>
      <c r="B1275" s="35" t="s">
        <v>8</v>
      </c>
      <c r="C1275" s="28"/>
      <c r="D1275" s="8"/>
      <c r="E1275" s="9"/>
      <c r="F1275" s="49" t="str">
        <f t="shared" si="94"/>
        <v/>
      </c>
      <c r="G1275" s="58"/>
      <c r="H1275" s="92"/>
    </row>
    <row r="1276" spans="1:8" x14ac:dyDescent="0.25">
      <c r="A1276" s="6">
        <v>45257</v>
      </c>
      <c r="B1276" s="31" t="s">
        <v>9</v>
      </c>
      <c r="C1276" s="32">
        <v>0.22222222222222221</v>
      </c>
      <c r="D1276" s="8">
        <v>0.64583333333333337</v>
      </c>
      <c r="E1276" s="9"/>
      <c r="F1276" s="62">
        <f t="shared" si="94"/>
        <v>10.166666666666668</v>
      </c>
      <c r="G1276" s="52"/>
      <c r="H1276" s="90">
        <f>SUM(F1276:G1282)</f>
        <v>45.333333333333336</v>
      </c>
    </row>
    <row r="1277" spans="1:8" x14ac:dyDescent="0.25">
      <c r="A1277" s="11">
        <v>45258</v>
      </c>
      <c r="B1277" s="35" t="s">
        <v>8</v>
      </c>
      <c r="C1277" s="8">
        <v>0.28472222222222221</v>
      </c>
      <c r="D1277" s="8" t="s">
        <v>11</v>
      </c>
      <c r="E1277" s="9"/>
      <c r="F1277" s="14">
        <f t="shared" si="94"/>
        <v>8.6666666666666679</v>
      </c>
      <c r="H1277" s="91"/>
    </row>
    <row r="1278" spans="1:8" x14ac:dyDescent="0.25">
      <c r="A1278" s="6">
        <v>45259</v>
      </c>
      <c r="B1278" s="35" t="s">
        <v>8</v>
      </c>
      <c r="C1278" s="8">
        <v>0.28472222222222221</v>
      </c>
      <c r="D1278" s="8" t="s">
        <v>11</v>
      </c>
      <c r="E1278" s="9"/>
      <c r="F1278" s="14">
        <f t="shared" si="94"/>
        <v>8.6666666666666679</v>
      </c>
      <c r="H1278" s="91"/>
    </row>
    <row r="1279" spans="1:8" x14ac:dyDescent="0.25">
      <c r="A1279" s="11">
        <v>45260</v>
      </c>
      <c r="B1279" s="7" t="s">
        <v>9</v>
      </c>
      <c r="C1279" s="8">
        <v>0.22222222222222221</v>
      </c>
      <c r="D1279" s="8" t="s">
        <v>11</v>
      </c>
      <c r="E1279" s="9"/>
      <c r="F1279" s="14">
        <f t="shared" si="94"/>
        <v>10.166666666666668</v>
      </c>
      <c r="H1279" s="91"/>
    </row>
    <row r="1280" spans="1:8" x14ac:dyDescent="0.25">
      <c r="A1280" s="6">
        <v>45261</v>
      </c>
      <c r="B1280" s="7" t="s">
        <v>9</v>
      </c>
      <c r="C1280" s="8">
        <v>0.22222222222222221</v>
      </c>
      <c r="D1280" s="8">
        <v>0.54166666666666663</v>
      </c>
      <c r="E1280" s="9"/>
      <c r="F1280" s="14">
        <f t="shared" si="94"/>
        <v>7.6666666666666661</v>
      </c>
      <c r="H1280" s="91"/>
    </row>
    <row r="1281" spans="1:8" x14ac:dyDescent="0.25">
      <c r="A1281" s="11">
        <v>45262</v>
      </c>
      <c r="B1281" s="7" t="s">
        <v>8</v>
      </c>
      <c r="C1281" s="8"/>
      <c r="D1281" s="8"/>
      <c r="E1281" s="9"/>
      <c r="F1281" s="14" t="str">
        <f t="shared" si="94"/>
        <v/>
      </c>
      <c r="H1281" s="91"/>
    </row>
    <row r="1282" spans="1:8" x14ac:dyDescent="0.25">
      <c r="A1282" s="6">
        <v>45263</v>
      </c>
      <c r="B1282" s="35" t="s">
        <v>8</v>
      </c>
      <c r="C1282" s="28"/>
      <c r="D1282" s="8"/>
      <c r="E1282" s="9"/>
      <c r="F1282" s="49" t="str">
        <f t="shared" si="94"/>
        <v/>
      </c>
      <c r="G1282" s="58"/>
      <c r="H1282" s="92"/>
    </row>
    <row r="1283" spans="1:8" x14ac:dyDescent="0.25">
      <c r="A1283" s="11">
        <v>45264</v>
      </c>
      <c r="B1283" t="s">
        <v>14</v>
      </c>
      <c r="C1283" s="32"/>
      <c r="D1283" s="8"/>
      <c r="E1283" s="9"/>
      <c r="F1283" s="62" t="str">
        <f t="shared" si="94"/>
        <v/>
      </c>
      <c r="G1283" s="52"/>
      <c r="H1283" s="90">
        <f>SUM(F1283:G1289)</f>
        <v>37.25</v>
      </c>
    </row>
    <row r="1284" spans="1:8" x14ac:dyDescent="0.25">
      <c r="A1284" s="6">
        <v>45265</v>
      </c>
      <c r="B1284" s="61" t="s">
        <v>12</v>
      </c>
      <c r="C1284" s="8">
        <v>0.23958333333333334</v>
      </c>
      <c r="D1284" s="8" t="s">
        <v>11</v>
      </c>
      <c r="E1284" s="9"/>
      <c r="F1284" s="14">
        <f t="shared" si="94"/>
        <v>9.75</v>
      </c>
      <c r="H1284" s="91"/>
    </row>
    <row r="1285" spans="1:8" x14ac:dyDescent="0.25">
      <c r="A1285" s="11">
        <v>45266</v>
      </c>
      <c r="B1285" s="61" t="s">
        <v>12</v>
      </c>
      <c r="C1285" s="8">
        <v>0.22916666666666666</v>
      </c>
      <c r="D1285" s="8" t="s">
        <v>11</v>
      </c>
      <c r="E1285" s="9"/>
      <c r="F1285" s="14">
        <f t="shared" si="94"/>
        <v>10.000000000000002</v>
      </c>
      <c r="H1285" s="91"/>
    </row>
    <row r="1286" spans="1:8" x14ac:dyDescent="0.25">
      <c r="A1286" s="6">
        <v>45267</v>
      </c>
      <c r="B1286" s="7" t="s">
        <v>9</v>
      </c>
      <c r="C1286" s="8">
        <v>0.22916666666666666</v>
      </c>
      <c r="D1286" s="8">
        <v>0.63888888888888895</v>
      </c>
      <c r="E1286" s="9"/>
      <c r="F1286" s="14">
        <f t="shared" si="94"/>
        <v>9.8333333333333357</v>
      </c>
      <c r="H1286" s="91"/>
    </row>
    <row r="1287" spans="1:8" x14ac:dyDescent="0.25">
      <c r="A1287" s="11">
        <v>45268</v>
      </c>
      <c r="B1287" s="7" t="s">
        <v>9</v>
      </c>
      <c r="C1287" s="8">
        <v>0.22222222222222221</v>
      </c>
      <c r="D1287" s="8">
        <v>0.54166666666666663</v>
      </c>
      <c r="E1287" s="9"/>
      <c r="F1287" s="14">
        <f t="shared" si="94"/>
        <v>7.6666666666666661</v>
      </c>
      <c r="H1287" s="91"/>
    </row>
    <row r="1288" spans="1:8" x14ac:dyDescent="0.25">
      <c r="A1288" s="6">
        <v>45269</v>
      </c>
      <c r="B1288" s="7" t="s">
        <v>8</v>
      </c>
      <c r="C1288" s="8"/>
      <c r="D1288" s="8"/>
      <c r="E1288" s="9"/>
      <c r="F1288" s="14" t="str">
        <f t="shared" si="94"/>
        <v/>
      </c>
      <c r="H1288" s="91"/>
    </row>
    <row r="1289" spans="1:8" x14ac:dyDescent="0.25">
      <c r="A1289" s="11">
        <v>45270</v>
      </c>
      <c r="B1289" s="35" t="s">
        <v>8</v>
      </c>
      <c r="C1289" s="28"/>
      <c r="D1289" s="8"/>
      <c r="E1289" s="9"/>
      <c r="F1289" s="49" t="str">
        <f t="shared" si="94"/>
        <v/>
      </c>
      <c r="G1289" s="58"/>
      <c r="H1289" s="92"/>
    </row>
    <row r="1290" spans="1:8" x14ac:dyDescent="0.25">
      <c r="A1290" s="6">
        <v>45271</v>
      </c>
      <c r="B1290" s="35" t="s">
        <v>8</v>
      </c>
      <c r="C1290" s="32"/>
      <c r="D1290" s="8"/>
      <c r="E1290" s="9"/>
      <c r="F1290" s="62" t="str">
        <f t="shared" si="94"/>
        <v/>
      </c>
      <c r="G1290" s="52"/>
      <c r="H1290" s="90">
        <f>SUM(F1290:G1296)</f>
        <v>19.416666666666668</v>
      </c>
    </row>
    <row r="1291" spans="1:8" x14ac:dyDescent="0.25">
      <c r="A1291" s="11">
        <v>45272</v>
      </c>
      <c r="B1291" s="61" t="s">
        <v>12</v>
      </c>
      <c r="C1291" s="8">
        <v>0.23958333333333334</v>
      </c>
      <c r="D1291" s="8" t="s">
        <v>11</v>
      </c>
      <c r="E1291" s="9"/>
      <c r="F1291" s="14">
        <f t="shared" si="94"/>
        <v>9.75</v>
      </c>
      <c r="H1291" s="91"/>
    </row>
    <row r="1292" spans="1:8" x14ac:dyDescent="0.25">
      <c r="A1292" s="6">
        <v>45273</v>
      </c>
      <c r="B1292" s="35" t="s">
        <v>8</v>
      </c>
      <c r="C1292" s="8"/>
      <c r="D1292" s="8"/>
      <c r="E1292" s="9"/>
      <c r="F1292" s="14" t="str">
        <f t="shared" si="94"/>
        <v/>
      </c>
      <c r="H1292" s="91"/>
    </row>
    <row r="1293" spans="1:8" x14ac:dyDescent="0.25">
      <c r="A1293" s="11">
        <v>45274</v>
      </c>
      <c r="B1293" s="35" t="s">
        <v>8</v>
      </c>
      <c r="C1293" s="8"/>
      <c r="D1293" s="8"/>
      <c r="E1293" s="9"/>
      <c r="F1293" s="14" t="str">
        <f t="shared" si="94"/>
        <v/>
      </c>
      <c r="H1293" s="91"/>
    </row>
    <row r="1294" spans="1:8" x14ac:dyDescent="0.25">
      <c r="A1294" s="6">
        <v>45275</v>
      </c>
      <c r="B1294" s="7" t="s">
        <v>9</v>
      </c>
      <c r="C1294" s="8">
        <v>0.24305555555555555</v>
      </c>
      <c r="D1294" s="8" t="s">
        <v>11</v>
      </c>
      <c r="E1294" s="9"/>
      <c r="F1294" s="14">
        <f t="shared" si="94"/>
        <v>9.6666666666666679</v>
      </c>
      <c r="H1294" s="91"/>
    </row>
    <row r="1295" spans="1:8" x14ac:dyDescent="0.25">
      <c r="A1295" s="11">
        <v>45276</v>
      </c>
      <c r="B1295" s="7" t="s">
        <v>8</v>
      </c>
      <c r="C1295" s="8"/>
      <c r="D1295" s="8"/>
      <c r="E1295" s="9"/>
      <c r="F1295" s="14" t="str">
        <f t="shared" si="94"/>
        <v/>
      </c>
      <c r="H1295" s="91"/>
    </row>
    <row r="1296" spans="1:8" x14ac:dyDescent="0.25">
      <c r="A1296" s="6">
        <v>45277</v>
      </c>
      <c r="B1296" s="35" t="s">
        <v>8</v>
      </c>
      <c r="C1296" s="28"/>
      <c r="D1296" s="8"/>
      <c r="E1296" s="9"/>
      <c r="F1296" s="49" t="str">
        <f t="shared" si="94"/>
        <v/>
      </c>
      <c r="G1296" s="58"/>
      <c r="H1296" s="92"/>
    </row>
    <row r="1297" spans="1:8" x14ac:dyDescent="0.25">
      <c r="A1297" s="11">
        <v>45278</v>
      </c>
      <c r="B1297" t="s">
        <v>14</v>
      </c>
      <c r="C1297" s="32"/>
      <c r="D1297" s="8"/>
      <c r="E1297" s="9"/>
      <c r="F1297" s="62" t="str">
        <f t="shared" si="94"/>
        <v/>
      </c>
      <c r="G1297" s="52"/>
      <c r="H1297" s="90">
        <f>SUM(F1297:G1303)</f>
        <v>35.666666666666671</v>
      </c>
    </row>
    <row r="1298" spans="1:8" x14ac:dyDescent="0.25">
      <c r="A1298" s="6">
        <v>45279</v>
      </c>
      <c r="B1298" s="7" t="s">
        <v>9</v>
      </c>
      <c r="C1298" s="8">
        <v>0.22222222222222221</v>
      </c>
      <c r="D1298" s="8" t="s">
        <v>11</v>
      </c>
      <c r="E1298" s="9"/>
      <c r="F1298" s="14">
        <f t="shared" si="94"/>
        <v>10.166666666666668</v>
      </c>
      <c r="H1298" s="91"/>
    </row>
    <row r="1299" spans="1:8" x14ac:dyDescent="0.25">
      <c r="A1299" s="11">
        <v>45280</v>
      </c>
      <c r="B1299" s="61" t="s">
        <v>12</v>
      </c>
      <c r="C1299" s="8">
        <v>0.22222222222222221</v>
      </c>
      <c r="D1299" s="8">
        <v>0.66666666666666663</v>
      </c>
      <c r="E1299" s="9"/>
      <c r="F1299" s="14">
        <f t="shared" si="94"/>
        <v>10.666666666666666</v>
      </c>
      <c r="H1299" s="91"/>
    </row>
    <row r="1300" spans="1:8" x14ac:dyDescent="0.25">
      <c r="A1300" s="6">
        <v>45281</v>
      </c>
      <c r="B1300" s="7" t="s">
        <v>9</v>
      </c>
      <c r="C1300" s="8">
        <v>0.23611111111111113</v>
      </c>
      <c r="D1300" s="8">
        <v>0.625</v>
      </c>
      <c r="E1300" s="9"/>
      <c r="F1300" s="14">
        <f t="shared" si="94"/>
        <v>9.3333333333333321</v>
      </c>
      <c r="H1300" s="91"/>
    </row>
    <row r="1301" spans="1:8" x14ac:dyDescent="0.25">
      <c r="A1301" s="11">
        <v>45282</v>
      </c>
      <c r="B1301" s="7" t="s">
        <v>9</v>
      </c>
      <c r="C1301" s="8">
        <v>0.27083333333333331</v>
      </c>
      <c r="D1301" s="8">
        <v>0.5</v>
      </c>
      <c r="E1301" s="9"/>
      <c r="F1301" s="14">
        <f t="shared" si="94"/>
        <v>5.5</v>
      </c>
      <c r="H1301" s="91"/>
    </row>
    <row r="1302" spans="1:8" x14ac:dyDescent="0.25">
      <c r="A1302" s="6">
        <v>45283</v>
      </c>
      <c r="B1302" s="7" t="s">
        <v>8</v>
      </c>
      <c r="C1302" s="8"/>
      <c r="D1302" s="8"/>
      <c r="E1302" s="9"/>
      <c r="F1302" s="14" t="str">
        <f t="shared" si="94"/>
        <v/>
      </c>
      <c r="H1302" s="91"/>
    </row>
    <row r="1303" spans="1:8" x14ac:dyDescent="0.25">
      <c r="A1303" s="11">
        <v>45284</v>
      </c>
      <c r="B1303" s="35" t="s">
        <v>8</v>
      </c>
      <c r="C1303" s="28"/>
      <c r="D1303" s="8"/>
      <c r="E1303" s="9"/>
      <c r="F1303" s="49" t="str">
        <f t="shared" si="94"/>
        <v/>
      </c>
      <c r="G1303" s="58"/>
      <c r="H1303" s="92"/>
    </row>
    <row r="1304" spans="1:8" x14ac:dyDescent="0.25">
      <c r="A1304" s="6">
        <v>45285</v>
      </c>
      <c r="B1304" s="7" t="s">
        <v>13</v>
      </c>
      <c r="C1304" s="32"/>
      <c r="D1304" s="8"/>
      <c r="E1304" s="9"/>
      <c r="F1304" s="62" t="str">
        <f t="shared" si="94"/>
        <v/>
      </c>
      <c r="G1304" s="52"/>
      <c r="H1304" s="90">
        <f>SUM(F1304:G1310)</f>
        <v>0</v>
      </c>
    </row>
    <row r="1305" spans="1:8" x14ac:dyDescent="0.25">
      <c r="A1305" s="11">
        <v>45286</v>
      </c>
      <c r="B1305" s="7" t="s">
        <v>13</v>
      </c>
      <c r="C1305" s="8"/>
      <c r="D1305" s="8"/>
      <c r="E1305" s="9"/>
      <c r="F1305" s="14"/>
      <c r="H1305" s="91"/>
    </row>
    <row r="1306" spans="1:8" x14ac:dyDescent="0.25">
      <c r="A1306" s="6">
        <v>45287</v>
      </c>
      <c r="B1306" s="7" t="s">
        <v>8</v>
      </c>
      <c r="C1306" s="8"/>
      <c r="D1306" s="8"/>
      <c r="E1306" s="9"/>
      <c r="F1306" s="14"/>
      <c r="H1306" s="91"/>
    </row>
    <row r="1307" spans="1:8" x14ac:dyDescent="0.25">
      <c r="A1307" s="11">
        <v>45288</v>
      </c>
      <c r="B1307" s="7" t="s">
        <v>8</v>
      </c>
      <c r="C1307" s="8"/>
      <c r="D1307" s="8"/>
      <c r="E1307" s="9"/>
      <c r="F1307" s="14"/>
      <c r="H1307" s="91"/>
    </row>
    <row r="1308" spans="1:8" x14ac:dyDescent="0.25">
      <c r="A1308" s="6">
        <v>45289</v>
      </c>
      <c r="B1308" s="7" t="s">
        <v>8</v>
      </c>
      <c r="C1308" s="8"/>
      <c r="D1308" s="8"/>
      <c r="E1308" s="9"/>
      <c r="F1308" s="14"/>
      <c r="H1308" s="91"/>
    </row>
    <row r="1309" spans="1:8" x14ac:dyDescent="0.25">
      <c r="A1309" s="11">
        <v>45290</v>
      </c>
      <c r="B1309" s="7" t="s">
        <v>8</v>
      </c>
      <c r="C1309" s="8"/>
      <c r="D1309" s="8"/>
      <c r="E1309" s="9"/>
      <c r="F1309" s="14" t="str">
        <f>IF(AND(C1309&lt;&gt;"", D1309&lt;&gt;""), (D1309-C1309)*24, "")</f>
        <v/>
      </c>
      <c r="H1309" s="91"/>
    </row>
    <row r="1310" spans="1:8" x14ac:dyDescent="0.25">
      <c r="A1310" s="37">
        <v>45291</v>
      </c>
      <c r="B1310" s="38" t="s">
        <v>8</v>
      </c>
      <c r="C1310" s="63"/>
      <c r="D1310" s="39"/>
      <c r="E1310" s="64"/>
      <c r="F1310" s="65" t="str">
        <f>IF(AND(C1310&lt;&gt;"", D1310&lt;&gt;""), (D1310-C1310)*24, "")</f>
        <v/>
      </c>
      <c r="G1310" s="66"/>
      <c r="H1310" s="92"/>
    </row>
    <row r="1311" spans="1:8" x14ac:dyDescent="0.25">
      <c r="A1311" s="11">
        <v>45292</v>
      </c>
      <c r="B1311" s="7" t="s">
        <v>13</v>
      </c>
      <c r="C1311" s="32"/>
      <c r="D1311" s="8"/>
      <c r="E1311" s="9"/>
      <c r="F1311" s="62" t="str">
        <f>IF(AND(C1311&lt;&gt;"", D1311&lt;&gt;""), (D1311-C1311)*24, "")</f>
        <v/>
      </c>
      <c r="G1311" s="52"/>
      <c r="H1311" s="90">
        <f>SUM(F1311:G1317)</f>
        <v>52.166666666666671</v>
      </c>
    </row>
    <row r="1312" spans="1:8" x14ac:dyDescent="0.25">
      <c r="A1312" s="6">
        <v>45293</v>
      </c>
      <c r="B1312" s="7" t="s">
        <v>14</v>
      </c>
      <c r="C1312" s="8"/>
      <c r="D1312" s="8"/>
      <c r="E1312" s="9"/>
      <c r="F1312" s="14"/>
      <c r="H1312" s="91"/>
    </row>
    <row r="1313" spans="1:8" x14ac:dyDescent="0.25">
      <c r="A1313" s="11">
        <v>45294</v>
      </c>
      <c r="B1313" s="7" t="s">
        <v>9</v>
      </c>
      <c r="C1313" s="8">
        <v>0.22222222222222221</v>
      </c>
      <c r="D1313" s="8" t="s">
        <v>11</v>
      </c>
      <c r="E1313" s="9"/>
      <c r="F1313" s="14">
        <f>IF(AND(C1313&lt;&gt;"", D1313&lt;&gt;""), (D1313-C1313)*24, "")</f>
        <v>10.166666666666668</v>
      </c>
      <c r="H1313" s="91"/>
    </row>
    <row r="1314" spans="1:8" x14ac:dyDescent="0.25">
      <c r="A1314" s="6">
        <v>45295</v>
      </c>
      <c r="B1314" s="7" t="s">
        <v>12</v>
      </c>
      <c r="C1314" s="8">
        <v>0.25</v>
      </c>
      <c r="D1314" s="8">
        <v>0.70833333333333337</v>
      </c>
      <c r="E1314" s="9"/>
      <c r="F1314" s="14">
        <f>IF(AND(C1314&lt;&gt;"", D1314&lt;&gt;""), (D1314-C1314)*24, "")</f>
        <v>11</v>
      </c>
      <c r="H1314" s="91"/>
    </row>
    <row r="1315" spans="1:8" x14ac:dyDescent="0.25">
      <c r="A1315" s="11">
        <v>45296</v>
      </c>
      <c r="B1315" s="7" t="s">
        <v>12</v>
      </c>
      <c r="C1315" s="8">
        <v>0.29166666666666669</v>
      </c>
      <c r="D1315" s="8">
        <v>0.70833333333333337</v>
      </c>
      <c r="E1315" s="9"/>
      <c r="F1315" s="14">
        <f>IF(AND(C1315&lt;&gt;"", D1315&lt;&gt;""), (D1315-C1315)*24, "")</f>
        <v>10</v>
      </c>
      <c r="H1315" s="91"/>
    </row>
    <row r="1316" spans="1:8" x14ac:dyDescent="0.25">
      <c r="A1316" s="6">
        <v>45297</v>
      </c>
      <c r="B1316" s="7" t="s">
        <v>12</v>
      </c>
      <c r="C1316" s="8">
        <v>0.27083333333333331</v>
      </c>
      <c r="D1316" s="8">
        <v>0.70833333333333337</v>
      </c>
      <c r="E1316" s="9"/>
      <c r="F1316" s="14">
        <f>IF(AND(C1316&lt;&gt;"", D1316&lt;&gt;""), (D1316-C1316)*24, "")</f>
        <v>10.500000000000002</v>
      </c>
      <c r="H1316" s="91"/>
    </row>
    <row r="1317" spans="1:8" x14ac:dyDescent="0.25">
      <c r="A1317" s="11">
        <v>45298</v>
      </c>
      <c r="B1317" s="7" t="s">
        <v>12</v>
      </c>
      <c r="C1317" s="8">
        <v>0.27083333333333331</v>
      </c>
      <c r="D1317" s="8">
        <v>0.70833333333333337</v>
      </c>
      <c r="E1317" s="9"/>
      <c r="F1317" s="49">
        <f>IF(AND(C1317&lt;&gt;"", D1317&lt;&gt;""), (D1317-C1317)*24, "")</f>
        <v>10.500000000000002</v>
      </c>
      <c r="G1317" s="58"/>
      <c r="H1317" s="92"/>
    </row>
    <row r="1318" spans="1:8" x14ac:dyDescent="0.25">
      <c r="A1318" s="6">
        <v>45299</v>
      </c>
      <c r="B1318" s="7" t="s">
        <v>12</v>
      </c>
      <c r="C1318" s="8">
        <v>0.28472222222222221</v>
      </c>
      <c r="D1318" s="8">
        <v>0.58333333333333337</v>
      </c>
      <c r="E1318" s="9"/>
      <c r="F1318" s="14">
        <f t="shared" ref="F1318:F1381" si="96">IF(AND(C1318&lt;&gt;"", D1318&lt;&gt;""), (D1318-C1318)*24, "")</f>
        <v>7.1666666666666679</v>
      </c>
      <c r="H1318" s="90">
        <f>SUM(F1318:G1324)</f>
        <v>17.166666666666671</v>
      </c>
    </row>
    <row r="1319" spans="1:8" x14ac:dyDescent="0.25">
      <c r="A1319" s="11">
        <v>45300</v>
      </c>
      <c r="B1319" s="7" t="s">
        <v>8</v>
      </c>
      <c r="C1319" s="8"/>
      <c r="D1319" s="8"/>
      <c r="E1319" s="9"/>
      <c r="F1319" s="14" t="str">
        <f t="shared" si="96"/>
        <v/>
      </c>
      <c r="H1319" s="91"/>
    </row>
    <row r="1320" spans="1:8" x14ac:dyDescent="0.25">
      <c r="A1320" s="6">
        <v>45301</v>
      </c>
      <c r="B1320" s="7" t="s">
        <v>12</v>
      </c>
      <c r="C1320" s="8">
        <v>0.22916666666666666</v>
      </c>
      <c r="D1320" s="8" t="s">
        <v>11</v>
      </c>
      <c r="E1320" s="9"/>
      <c r="F1320" s="14">
        <f t="shared" si="96"/>
        <v>10.000000000000002</v>
      </c>
      <c r="H1320" s="91"/>
    </row>
    <row r="1321" spans="1:8" x14ac:dyDescent="0.25">
      <c r="A1321" s="11">
        <v>45302</v>
      </c>
      <c r="B1321" s="7" t="s">
        <v>8</v>
      </c>
      <c r="C1321" s="8"/>
      <c r="D1321" s="8"/>
      <c r="E1321" s="9"/>
      <c r="F1321" s="14" t="str">
        <f t="shared" si="96"/>
        <v/>
      </c>
      <c r="H1321" s="91"/>
    </row>
    <row r="1322" spans="1:8" x14ac:dyDescent="0.25">
      <c r="A1322" s="6">
        <v>45303</v>
      </c>
      <c r="B1322" s="7" t="s">
        <v>8</v>
      </c>
      <c r="C1322" s="8"/>
      <c r="D1322" s="8"/>
      <c r="E1322" s="9"/>
      <c r="F1322" s="14" t="str">
        <f t="shared" si="96"/>
        <v/>
      </c>
      <c r="H1322" s="91"/>
    </row>
    <row r="1323" spans="1:8" x14ac:dyDescent="0.25">
      <c r="A1323" s="11">
        <v>45304</v>
      </c>
      <c r="B1323" s="7" t="s">
        <v>8</v>
      </c>
      <c r="C1323" s="8"/>
      <c r="D1323" s="8"/>
      <c r="E1323" s="9"/>
      <c r="F1323" s="14" t="str">
        <f t="shared" si="96"/>
        <v/>
      </c>
      <c r="H1323" s="91"/>
    </row>
    <row r="1324" spans="1:8" x14ac:dyDescent="0.25">
      <c r="A1324" s="67">
        <v>45305</v>
      </c>
      <c r="B1324" s="68" t="s">
        <v>8</v>
      </c>
      <c r="C1324" s="69"/>
      <c r="D1324" s="69"/>
      <c r="E1324" s="70"/>
      <c r="F1324" s="71" t="str">
        <f t="shared" si="96"/>
        <v/>
      </c>
      <c r="G1324" s="72"/>
      <c r="H1324" s="93"/>
    </row>
    <row r="1325" spans="1:8" x14ac:dyDescent="0.25">
      <c r="A1325" s="73">
        <v>45306</v>
      </c>
      <c r="B1325" s="74" t="s">
        <v>9</v>
      </c>
      <c r="C1325" s="75">
        <v>0.22222222222222221</v>
      </c>
      <c r="D1325" s="75">
        <v>0.64583333333333337</v>
      </c>
      <c r="E1325" s="76"/>
      <c r="F1325" s="77">
        <f t="shared" si="96"/>
        <v>10.166666666666668</v>
      </c>
      <c r="G1325" s="78"/>
      <c r="H1325" s="94">
        <f>SUM(F1325:G1331)</f>
        <v>43</v>
      </c>
    </row>
    <row r="1326" spans="1:8" x14ac:dyDescent="0.25">
      <c r="A1326" s="6">
        <v>45307</v>
      </c>
      <c r="B1326" s="74" t="s">
        <v>9</v>
      </c>
      <c r="C1326" s="8">
        <v>0.22222222222222221</v>
      </c>
      <c r="D1326" s="8" t="s">
        <v>11</v>
      </c>
      <c r="E1326" s="9"/>
      <c r="F1326" s="14">
        <f t="shared" si="96"/>
        <v>10.166666666666668</v>
      </c>
      <c r="H1326" s="91"/>
    </row>
    <row r="1327" spans="1:8" x14ac:dyDescent="0.25">
      <c r="A1327" s="11">
        <v>45308</v>
      </c>
      <c r="B1327" s="7" t="s">
        <v>8</v>
      </c>
      <c r="C1327" s="8"/>
      <c r="D1327" s="8"/>
      <c r="E1327" s="9"/>
      <c r="F1327" s="14">
        <v>8</v>
      </c>
      <c r="H1327" s="91"/>
    </row>
    <row r="1328" spans="1:8" x14ac:dyDescent="0.25">
      <c r="A1328" s="6">
        <v>45309</v>
      </c>
      <c r="B1328" s="7" t="s">
        <v>12</v>
      </c>
      <c r="C1328" s="8">
        <v>0.27083333333333331</v>
      </c>
      <c r="D1328" s="8">
        <v>0.625</v>
      </c>
      <c r="E1328" s="9"/>
      <c r="F1328" s="14">
        <f t="shared" si="96"/>
        <v>8.5</v>
      </c>
      <c r="H1328" s="91"/>
    </row>
    <row r="1329" spans="1:8" x14ac:dyDescent="0.25">
      <c r="A1329" s="11">
        <v>45310</v>
      </c>
      <c r="B1329" s="7" t="s">
        <v>9</v>
      </c>
      <c r="C1329" s="8">
        <v>0.28472222222222221</v>
      </c>
      <c r="D1329" s="8">
        <v>0.54166666666666663</v>
      </c>
      <c r="E1329" s="9"/>
      <c r="F1329" s="14">
        <f t="shared" si="96"/>
        <v>6.1666666666666661</v>
      </c>
      <c r="H1329" s="91"/>
    </row>
    <row r="1330" spans="1:8" x14ac:dyDescent="0.25">
      <c r="A1330" s="6">
        <v>45311</v>
      </c>
      <c r="B1330" s="7" t="s">
        <v>8</v>
      </c>
      <c r="C1330" s="8"/>
      <c r="D1330" s="8"/>
      <c r="E1330" s="9"/>
      <c r="F1330" s="14" t="str">
        <f t="shared" si="96"/>
        <v/>
      </c>
      <c r="H1330" s="91"/>
    </row>
    <row r="1331" spans="1:8" x14ac:dyDescent="0.25">
      <c r="A1331" s="43">
        <v>45312</v>
      </c>
      <c r="B1331" s="35" t="s">
        <v>8</v>
      </c>
      <c r="C1331" s="28"/>
      <c r="D1331" s="28"/>
      <c r="E1331" s="79"/>
      <c r="F1331" s="49" t="str">
        <f t="shared" si="96"/>
        <v/>
      </c>
      <c r="G1331" s="58"/>
      <c r="H1331" s="92"/>
    </row>
    <row r="1332" spans="1:8" x14ac:dyDescent="0.25">
      <c r="A1332" s="30">
        <v>45313</v>
      </c>
      <c r="B1332" s="31" t="s">
        <v>9</v>
      </c>
      <c r="C1332" s="32">
        <v>0.22569444444444445</v>
      </c>
      <c r="D1332" s="32">
        <v>0.63888888888888895</v>
      </c>
      <c r="E1332" s="80"/>
      <c r="F1332" s="62">
        <f t="shared" si="96"/>
        <v>9.9166666666666679</v>
      </c>
      <c r="G1332" s="52">
        <v>1</v>
      </c>
      <c r="H1332" s="90">
        <f>SUM(F1332:G1338)</f>
        <v>69.333333333333343</v>
      </c>
    </row>
    <row r="1333" spans="1:8" x14ac:dyDescent="0.25">
      <c r="A1333" s="11">
        <v>45314</v>
      </c>
      <c r="B1333" s="7" t="s">
        <v>12</v>
      </c>
      <c r="C1333" s="8">
        <v>0.23958333333333334</v>
      </c>
      <c r="D1333" s="8">
        <v>0.64583333333333337</v>
      </c>
      <c r="E1333" s="9"/>
      <c r="F1333" s="14">
        <f t="shared" si="96"/>
        <v>9.75</v>
      </c>
      <c r="G1333">
        <v>2</v>
      </c>
      <c r="H1333" s="91"/>
    </row>
    <row r="1334" spans="1:8" x14ac:dyDescent="0.25">
      <c r="A1334" s="6">
        <v>45315</v>
      </c>
      <c r="B1334" s="7" t="s">
        <v>12</v>
      </c>
      <c r="C1334" s="8">
        <v>0.24305555555555555</v>
      </c>
      <c r="D1334" s="8" t="s">
        <v>11</v>
      </c>
      <c r="E1334" s="9"/>
      <c r="F1334" s="14">
        <f t="shared" si="96"/>
        <v>9.6666666666666679</v>
      </c>
      <c r="G1334">
        <v>2</v>
      </c>
      <c r="H1334" s="91"/>
    </row>
    <row r="1335" spans="1:8" x14ac:dyDescent="0.25">
      <c r="A1335" s="11">
        <v>45316</v>
      </c>
      <c r="B1335" s="7" t="s">
        <v>9</v>
      </c>
      <c r="C1335" s="8">
        <v>0.25</v>
      </c>
      <c r="D1335" s="8">
        <v>0.5</v>
      </c>
      <c r="E1335" s="9"/>
      <c r="F1335" s="14">
        <f t="shared" si="96"/>
        <v>6</v>
      </c>
      <c r="H1335" s="91"/>
    </row>
    <row r="1336" spans="1:8" x14ac:dyDescent="0.25">
      <c r="A1336" s="6">
        <v>45317</v>
      </c>
      <c r="B1336" s="7" t="s">
        <v>13</v>
      </c>
      <c r="C1336" s="8">
        <v>0.28472222222222221</v>
      </c>
      <c r="D1336" s="8">
        <v>0.64583333333333337</v>
      </c>
      <c r="E1336" s="9"/>
      <c r="F1336" s="14">
        <f t="shared" si="96"/>
        <v>8.6666666666666679</v>
      </c>
      <c r="G1336">
        <v>1</v>
      </c>
      <c r="H1336" s="91"/>
    </row>
    <row r="1337" spans="1:8" x14ac:dyDescent="0.25">
      <c r="A1337" s="11">
        <v>45318</v>
      </c>
      <c r="B1337" s="7" t="s">
        <v>15</v>
      </c>
      <c r="C1337" s="8">
        <v>0.28472222222222221</v>
      </c>
      <c r="D1337" s="8">
        <v>0.64583333333333337</v>
      </c>
      <c r="E1337" s="9"/>
      <c r="F1337" s="14">
        <f t="shared" si="96"/>
        <v>8.6666666666666679</v>
      </c>
      <c r="G1337">
        <v>1</v>
      </c>
      <c r="H1337" s="91"/>
    </row>
    <row r="1338" spans="1:8" x14ac:dyDescent="0.25">
      <c r="A1338" s="34">
        <v>45319</v>
      </c>
      <c r="B1338" s="35" t="s">
        <v>15</v>
      </c>
      <c r="C1338" s="8">
        <v>0.28472222222222221</v>
      </c>
      <c r="D1338" s="8">
        <v>0.64583333333333337</v>
      </c>
      <c r="E1338" s="9"/>
      <c r="F1338" s="49">
        <f t="shared" si="96"/>
        <v>8.6666666666666679</v>
      </c>
      <c r="G1338" s="58">
        <v>1</v>
      </c>
      <c r="H1338" s="92"/>
    </row>
    <row r="1339" spans="1:8" x14ac:dyDescent="0.25">
      <c r="A1339" s="36">
        <v>45320</v>
      </c>
      <c r="B1339" s="31" t="s">
        <v>9</v>
      </c>
      <c r="C1339" s="32">
        <v>0.22916666666666666</v>
      </c>
      <c r="D1339" s="32">
        <v>0.64027777777777783</v>
      </c>
      <c r="E1339" s="80"/>
      <c r="F1339" s="62">
        <f t="shared" si="96"/>
        <v>9.8666666666666689</v>
      </c>
      <c r="G1339" s="52">
        <v>1</v>
      </c>
      <c r="H1339" s="90">
        <f>SUM(F1339:G1345)</f>
        <v>67.366666666666674</v>
      </c>
    </row>
    <row r="1340" spans="1:8" x14ac:dyDescent="0.25">
      <c r="A1340" s="6">
        <v>45321</v>
      </c>
      <c r="B1340" s="7" t="s">
        <v>12</v>
      </c>
      <c r="C1340" s="8">
        <v>0.24305555555555555</v>
      </c>
      <c r="D1340" s="8">
        <v>0.64583333333333337</v>
      </c>
      <c r="E1340" s="9"/>
      <c r="F1340" s="14">
        <f t="shared" si="96"/>
        <v>9.6666666666666679</v>
      </c>
      <c r="H1340" s="91"/>
    </row>
    <row r="1341" spans="1:8" x14ac:dyDescent="0.25">
      <c r="A1341" s="11">
        <v>45322</v>
      </c>
      <c r="B1341" s="7" t="s">
        <v>12</v>
      </c>
      <c r="C1341" s="8">
        <v>0.24305555555555555</v>
      </c>
      <c r="D1341" s="8" t="s">
        <v>11</v>
      </c>
      <c r="E1341" s="9"/>
      <c r="F1341" s="14">
        <f t="shared" si="96"/>
        <v>9.6666666666666679</v>
      </c>
      <c r="G1341">
        <v>2</v>
      </c>
      <c r="H1341" s="91"/>
    </row>
    <row r="1342" spans="1:8" x14ac:dyDescent="0.25">
      <c r="A1342" s="6">
        <v>45323</v>
      </c>
      <c r="B1342" s="7" t="s">
        <v>9</v>
      </c>
      <c r="C1342" s="8">
        <v>0.28472222222222221</v>
      </c>
      <c r="D1342" s="8">
        <v>0.64583333333333337</v>
      </c>
      <c r="E1342" s="9"/>
      <c r="F1342" s="14">
        <f t="shared" si="96"/>
        <v>8.6666666666666679</v>
      </c>
      <c r="G1342">
        <v>1</v>
      </c>
      <c r="H1342" s="91"/>
    </row>
    <row r="1343" spans="1:8" x14ac:dyDescent="0.25">
      <c r="A1343" s="11">
        <v>45324</v>
      </c>
      <c r="B1343" s="7" t="s">
        <v>9</v>
      </c>
      <c r="C1343" s="8">
        <v>0.28472222222222221</v>
      </c>
      <c r="D1343" s="8">
        <v>0.54166666666666663</v>
      </c>
      <c r="E1343" s="9"/>
      <c r="F1343" s="14">
        <f t="shared" si="96"/>
        <v>6.1666666666666661</v>
      </c>
      <c r="G1343">
        <v>1</v>
      </c>
      <c r="H1343" s="91"/>
    </row>
    <row r="1344" spans="1:8" x14ac:dyDescent="0.25">
      <c r="A1344" s="6">
        <v>45325</v>
      </c>
      <c r="B1344" s="7" t="s">
        <v>15</v>
      </c>
      <c r="C1344" s="32">
        <v>0.28472222222222221</v>
      </c>
      <c r="D1344" s="32">
        <v>0.64583333333333337</v>
      </c>
      <c r="E1344" s="9"/>
      <c r="F1344" s="14">
        <f t="shared" si="96"/>
        <v>8.6666666666666679</v>
      </c>
      <c r="G1344">
        <v>1</v>
      </c>
      <c r="H1344" s="91"/>
    </row>
    <row r="1345" spans="1:8" x14ac:dyDescent="0.25">
      <c r="A1345" s="43">
        <v>45326</v>
      </c>
      <c r="B1345" s="35" t="s">
        <v>15</v>
      </c>
      <c r="C1345" s="32">
        <v>0.28472222222222221</v>
      </c>
      <c r="D1345" s="32">
        <v>0.64583333333333337</v>
      </c>
      <c r="E1345" s="9"/>
      <c r="F1345" s="49">
        <f t="shared" si="96"/>
        <v>8.6666666666666679</v>
      </c>
      <c r="G1345" s="58"/>
      <c r="H1345" s="92"/>
    </row>
    <row r="1346" spans="1:8" x14ac:dyDescent="0.25">
      <c r="A1346" s="30">
        <v>45327</v>
      </c>
      <c r="B1346" s="31" t="s">
        <v>8</v>
      </c>
      <c r="C1346" s="32">
        <v>0.28472222222222221</v>
      </c>
      <c r="D1346" s="32">
        <v>0.64583333333333337</v>
      </c>
      <c r="E1346" s="80"/>
      <c r="F1346" s="62">
        <f t="shared" si="96"/>
        <v>8.6666666666666679</v>
      </c>
      <c r="G1346" s="52">
        <v>1</v>
      </c>
      <c r="H1346" s="90">
        <f>SUM(F1346:G1352)</f>
        <v>70.5</v>
      </c>
    </row>
    <row r="1347" spans="1:8" x14ac:dyDescent="0.25">
      <c r="A1347" s="11">
        <v>45328</v>
      </c>
      <c r="B1347" s="7" t="s">
        <v>12</v>
      </c>
      <c r="C1347" s="8">
        <v>0.24305555555555555</v>
      </c>
      <c r="D1347" s="8">
        <v>0.64583333333333337</v>
      </c>
      <c r="E1347" s="9"/>
      <c r="F1347" s="14">
        <f t="shared" si="96"/>
        <v>9.6666666666666679</v>
      </c>
      <c r="H1347" s="91"/>
    </row>
    <row r="1348" spans="1:8" x14ac:dyDescent="0.25">
      <c r="A1348" s="6">
        <v>45329</v>
      </c>
      <c r="B1348" s="7" t="s">
        <v>12</v>
      </c>
      <c r="C1348" s="8">
        <v>0.24305555555555555</v>
      </c>
      <c r="D1348" s="8">
        <v>0.66666666666666663</v>
      </c>
      <c r="E1348" s="9"/>
      <c r="F1348" s="14">
        <f t="shared" si="96"/>
        <v>10.166666666666664</v>
      </c>
      <c r="G1348">
        <v>4</v>
      </c>
      <c r="H1348" s="91"/>
    </row>
    <row r="1349" spans="1:8" x14ac:dyDescent="0.25">
      <c r="A1349" s="11">
        <v>45330</v>
      </c>
      <c r="B1349" s="7" t="s">
        <v>9</v>
      </c>
      <c r="C1349" s="8">
        <v>0.3125</v>
      </c>
      <c r="D1349" s="8">
        <v>0.64583333333333337</v>
      </c>
      <c r="E1349" s="9"/>
      <c r="F1349" s="14">
        <f t="shared" si="96"/>
        <v>8</v>
      </c>
      <c r="G1349">
        <v>2.5</v>
      </c>
      <c r="H1349" s="91"/>
    </row>
    <row r="1350" spans="1:8" x14ac:dyDescent="0.25">
      <c r="A1350" s="6">
        <v>45331</v>
      </c>
      <c r="B1350" s="7" t="s">
        <v>9</v>
      </c>
      <c r="C1350" s="8">
        <v>0.28472222222222221</v>
      </c>
      <c r="D1350" s="8">
        <v>0.54166666666666663</v>
      </c>
      <c r="E1350" s="9"/>
      <c r="F1350" s="14">
        <f t="shared" si="96"/>
        <v>6.1666666666666661</v>
      </c>
      <c r="G1350">
        <v>1</v>
      </c>
      <c r="H1350" s="91"/>
    </row>
    <row r="1351" spans="1:8" x14ac:dyDescent="0.25">
      <c r="A1351" s="11">
        <v>45332</v>
      </c>
      <c r="B1351" s="7" t="s">
        <v>15</v>
      </c>
      <c r="C1351" s="32">
        <v>0.28472222222222221</v>
      </c>
      <c r="D1351" s="32">
        <v>0.64583333333333337</v>
      </c>
      <c r="E1351" s="9"/>
      <c r="F1351" s="14">
        <f t="shared" si="96"/>
        <v>8.6666666666666679</v>
      </c>
      <c r="G1351">
        <v>2</v>
      </c>
      <c r="H1351" s="91"/>
    </row>
    <row r="1352" spans="1:8" x14ac:dyDescent="0.25">
      <c r="A1352" s="67">
        <v>45333</v>
      </c>
      <c r="B1352" s="68" t="s">
        <v>15</v>
      </c>
      <c r="C1352" s="32">
        <v>0.28472222222222221</v>
      </c>
      <c r="D1352" s="32">
        <v>0.64583333333333337</v>
      </c>
      <c r="E1352" s="9"/>
      <c r="F1352" s="71">
        <f t="shared" si="96"/>
        <v>8.6666666666666679</v>
      </c>
      <c r="G1352" s="72"/>
      <c r="H1352" s="93"/>
    </row>
    <row r="1353" spans="1:8" x14ac:dyDescent="0.25">
      <c r="A1353" s="73">
        <v>45334</v>
      </c>
      <c r="B1353" s="74" t="s">
        <v>8</v>
      </c>
      <c r="C1353" s="32">
        <v>0.22916666666666666</v>
      </c>
      <c r="D1353" s="32">
        <v>0.64027777777777783</v>
      </c>
      <c r="E1353" s="9"/>
      <c r="F1353" s="77">
        <f t="shared" si="96"/>
        <v>9.8666666666666689</v>
      </c>
      <c r="G1353" s="78">
        <v>2</v>
      </c>
      <c r="H1353" s="94">
        <f>SUM(F1353:G1359)</f>
        <v>72.700000000000017</v>
      </c>
    </row>
    <row r="1354" spans="1:8" x14ac:dyDescent="0.25">
      <c r="A1354" s="6">
        <v>45335</v>
      </c>
      <c r="B1354" s="7" t="s">
        <v>9</v>
      </c>
      <c r="C1354" s="8">
        <v>0.22222222222222221</v>
      </c>
      <c r="D1354" s="8">
        <v>0.64583333333333337</v>
      </c>
      <c r="E1354" s="9"/>
      <c r="F1354" s="14">
        <f t="shared" si="96"/>
        <v>10.166666666666668</v>
      </c>
      <c r="G1354">
        <v>1</v>
      </c>
      <c r="H1354" s="91"/>
    </row>
    <row r="1355" spans="1:8" x14ac:dyDescent="0.25">
      <c r="A1355" s="11">
        <v>45336</v>
      </c>
      <c r="B1355" s="7" t="s">
        <v>9</v>
      </c>
      <c r="C1355" s="8">
        <v>0.22222222222222221</v>
      </c>
      <c r="D1355" s="8" t="s">
        <v>11</v>
      </c>
      <c r="E1355" s="9"/>
      <c r="F1355" s="14">
        <f t="shared" si="96"/>
        <v>10.166666666666668</v>
      </c>
      <c r="H1355" s="91"/>
    </row>
    <row r="1356" spans="1:8" x14ac:dyDescent="0.25">
      <c r="A1356" s="6">
        <v>45337</v>
      </c>
      <c r="B1356" s="7" t="s">
        <v>8</v>
      </c>
      <c r="C1356" s="8">
        <v>0.28472222222222221</v>
      </c>
      <c r="D1356" s="8">
        <v>0.64583333333333337</v>
      </c>
      <c r="E1356" s="9"/>
      <c r="F1356" s="14">
        <f t="shared" si="96"/>
        <v>8.6666666666666679</v>
      </c>
      <c r="G1356">
        <v>1</v>
      </c>
      <c r="H1356" s="91"/>
    </row>
    <row r="1357" spans="1:8" x14ac:dyDescent="0.25">
      <c r="A1357" s="11">
        <v>45338</v>
      </c>
      <c r="B1357" s="7" t="s">
        <v>9</v>
      </c>
      <c r="C1357" s="8">
        <v>0.22916666666666666</v>
      </c>
      <c r="D1357" s="8">
        <v>0.54166666666666663</v>
      </c>
      <c r="E1357" s="9"/>
      <c r="F1357" s="14">
        <f t="shared" si="96"/>
        <v>7.5</v>
      </c>
      <c r="G1357">
        <v>2</v>
      </c>
      <c r="H1357" s="91"/>
    </row>
    <row r="1358" spans="1:8" x14ac:dyDescent="0.25">
      <c r="A1358" s="6">
        <v>45339</v>
      </c>
      <c r="B1358" s="7" t="s">
        <v>15</v>
      </c>
      <c r="C1358" s="32">
        <v>0.28472222222222221</v>
      </c>
      <c r="D1358" s="32">
        <v>0.64583333333333337</v>
      </c>
      <c r="E1358" s="9"/>
      <c r="F1358" s="14">
        <f t="shared" si="96"/>
        <v>8.6666666666666679</v>
      </c>
      <c r="H1358" s="91"/>
    </row>
    <row r="1359" spans="1:8" x14ac:dyDescent="0.25">
      <c r="A1359" s="43">
        <v>45340</v>
      </c>
      <c r="B1359" s="35" t="s">
        <v>15</v>
      </c>
      <c r="C1359" s="32">
        <v>0.28472222222222221</v>
      </c>
      <c r="D1359" s="32">
        <v>0.64583333333333337</v>
      </c>
      <c r="E1359" s="9"/>
      <c r="F1359" s="49">
        <f t="shared" si="96"/>
        <v>8.6666666666666679</v>
      </c>
      <c r="G1359" s="58">
        <v>3</v>
      </c>
      <c r="H1359" s="92"/>
    </row>
    <row r="1360" spans="1:8" x14ac:dyDescent="0.25">
      <c r="A1360" s="23">
        <v>45341</v>
      </c>
      <c r="B1360" s="7" t="s">
        <v>9</v>
      </c>
      <c r="C1360" s="8">
        <v>0.23611111111111113</v>
      </c>
      <c r="D1360" s="8">
        <v>0.64583333333333337</v>
      </c>
      <c r="E1360" s="9"/>
      <c r="F1360" s="14">
        <f t="shared" si="96"/>
        <v>9.8333333333333321</v>
      </c>
      <c r="H1360" s="94">
        <f>SUM(F1360:G1366)</f>
        <v>45</v>
      </c>
    </row>
    <row r="1361" spans="1:8" x14ac:dyDescent="0.25">
      <c r="A1361" s="11">
        <v>45342</v>
      </c>
      <c r="B1361" s="7" t="s">
        <v>9</v>
      </c>
      <c r="C1361" s="8">
        <v>0.22222222222222221</v>
      </c>
      <c r="D1361" s="8" t="s">
        <v>11</v>
      </c>
      <c r="E1361" s="9"/>
      <c r="F1361" s="14">
        <f t="shared" si="96"/>
        <v>10.166666666666668</v>
      </c>
      <c r="H1361" s="91"/>
    </row>
    <row r="1362" spans="1:8" x14ac:dyDescent="0.25">
      <c r="A1362" s="6">
        <v>45343</v>
      </c>
      <c r="B1362" s="7" t="s">
        <v>9</v>
      </c>
      <c r="C1362" s="8">
        <v>0.22222222222222221</v>
      </c>
      <c r="D1362" s="8">
        <v>0.64583333333333337</v>
      </c>
      <c r="E1362" s="9"/>
      <c r="F1362" s="14">
        <f t="shared" si="96"/>
        <v>10.166666666666668</v>
      </c>
      <c r="H1362" s="91"/>
    </row>
    <row r="1363" spans="1:8" x14ac:dyDescent="0.25">
      <c r="A1363" s="11">
        <v>45344</v>
      </c>
      <c r="B1363" s="7" t="s">
        <v>9</v>
      </c>
      <c r="C1363" s="8">
        <v>0.28472222222222221</v>
      </c>
      <c r="D1363" s="8">
        <v>0.64583333333333337</v>
      </c>
      <c r="E1363" s="9"/>
      <c r="F1363" s="14">
        <f t="shared" si="96"/>
        <v>8.6666666666666679</v>
      </c>
      <c r="H1363" s="91"/>
    </row>
    <row r="1364" spans="1:8" x14ac:dyDescent="0.25">
      <c r="A1364" s="6">
        <v>45345</v>
      </c>
      <c r="B1364" s="7" t="s">
        <v>9</v>
      </c>
      <c r="C1364" s="8">
        <v>0.28472222222222221</v>
      </c>
      <c r="D1364" s="8">
        <v>0.54166666666666663</v>
      </c>
      <c r="E1364" s="9"/>
      <c r="F1364" s="14">
        <f t="shared" si="96"/>
        <v>6.1666666666666661</v>
      </c>
      <c r="H1364" s="91"/>
    </row>
    <row r="1365" spans="1:8" x14ac:dyDescent="0.25">
      <c r="A1365" s="11">
        <v>45346</v>
      </c>
      <c r="B1365" s="7" t="s">
        <v>8</v>
      </c>
      <c r="C1365" s="8"/>
      <c r="D1365" s="8"/>
      <c r="E1365" s="9"/>
      <c r="F1365" s="14" t="str">
        <f t="shared" si="96"/>
        <v/>
      </c>
      <c r="H1365" s="91"/>
    </row>
    <row r="1366" spans="1:8" x14ac:dyDescent="0.25">
      <c r="A1366" s="34">
        <v>45347</v>
      </c>
      <c r="B1366" s="68" t="s">
        <v>8</v>
      </c>
      <c r="C1366" s="28"/>
      <c r="D1366" s="28"/>
      <c r="E1366" s="79"/>
      <c r="F1366" s="49" t="str">
        <f t="shared" si="96"/>
        <v/>
      </c>
      <c r="G1366" s="58"/>
      <c r="H1366" s="92"/>
    </row>
    <row r="1367" spans="1:8" x14ac:dyDescent="0.25">
      <c r="A1367" s="36">
        <v>45348</v>
      </c>
      <c r="B1367" s="68" t="s">
        <v>8</v>
      </c>
      <c r="C1367" s="32">
        <v>0.28472222222222221</v>
      </c>
      <c r="D1367" s="32">
        <v>0.64583333333333337</v>
      </c>
      <c r="E1367" s="80"/>
      <c r="F1367" s="62">
        <f t="shared" si="96"/>
        <v>8.6666666666666679</v>
      </c>
      <c r="G1367" s="52"/>
      <c r="H1367" s="90">
        <f>SUM(F1367:G1373)</f>
        <v>44.25</v>
      </c>
    </row>
    <row r="1368" spans="1:8" x14ac:dyDescent="0.25">
      <c r="A1368" s="6">
        <v>45349</v>
      </c>
      <c r="B1368" s="7" t="s">
        <v>12</v>
      </c>
      <c r="C1368" s="8">
        <v>0.21875</v>
      </c>
      <c r="D1368" s="8">
        <v>0.64583333333333337</v>
      </c>
      <c r="E1368" s="9"/>
      <c r="F1368" s="14">
        <f t="shared" si="96"/>
        <v>10.25</v>
      </c>
      <c r="H1368" s="91"/>
    </row>
    <row r="1369" spans="1:8" x14ac:dyDescent="0.25">
      <c r="A1369" s="11">
        <v>45350</v>
      </c>
      <c r="B1369" s="7" t="s">
        <v>12</v>
      </c>
      <c r="C1369" s="8">
        <v>0.22916666666666666</v>
      </c>
      <c r="D1369" s="8" t="s">
        <v>11</v>
      </c>
      <c r="E1369" s="9"/>
      <c r="F1369" s="14">
        <f t="shared" si="96"/>
        <v>10.000000000000002</v>
      </c>
      <c r="H1369" s="91"/>
    </row>
    <row r="1370" spans="1:8" x14ac:dyDescent="0.25">
      <c r="A1370" s="6">
        <v>45351</v>
      </c>
      <c r="B1370" s="7" t="s">
        <v>9</v>
      </c>
      <c r="C1370" s="8">
        <v>0.22222222222222221</v>
      </c>
      <c r="D1370" s="8">
        <v>0.60416666666666663</v>
      </c>
      <c r="E1370" s="9"/>
      <c r="F1370" s="14">
        <f t="shared" si="96"/>
        <v>9.1666666666666661</v>
      </c>
      <c r="H1370" s="91"/>
    </row>
    <row r="1371" spans="1:8" x14ac:dyDescent="0.25">
      <c r="A1371" s="11">
        <v>45352</v>
      </c>
      <c r="B1371" s="7" t="s">
        <v>9</v>
      </c>
      <c r="C1371" s="8">
        <v>0.28472222222222221</v>
      </c>
      <c r="D1371" s="8">
        <v>0.54166666666666663</v>
      </c>
      <c r="E1371" s="9"/>
      <c r="F1371" s="14">
        <f t="shared" si="96"/>
        <v>6.1666666666666661</v>
      </c>
      <c r="H1371" s="91"/>
    </row>
    <row r="1372" spans="1:8" x14ac:dyDescent="0.25">
      <c r="A1372" s="6">
        <v>45353</v>
      </c>
      <c r="B1372" s="7" t="s">
        <v>8</v>
      </c>
      <c r="C1372" s="8"/>
      <c r="D1372" s="8"/>
      <c r="E1372" s="9"/>
      <c r="F1372" s="14" t="str">
        <f t="shared" si="96"/>
        <v/>
      </c>
      <c r="H1372" s="91"/>
    </row>
    <row r="1373" spans="1:8" x14ac:dyDescent="0.25">
      <c r="A1373" s="43">
        <v>45354</v>
      </c>
      <c r="B1373" s="68" t="s">
        <v>8</v>
      </c>
      <c r="C1373" s="28"/>
      <c r="D1373" s="28"/>
      <c r="E1373" s="79"/>
      <c r="F1373" s="49" t="str">
        <f t="shared" si="96"/>
        <v/>
      </c>
      <c r="G1373" s="58"/>
      <c r="H1373" s="92"/>
    </row>
    <row r="1374" spans="1:8" x14ac:dyDescent="0.25">
      <c r="A1374" s="30">
        <v>45355</v>
      </c>
      <c r="B1374" s="68" t="s">
        <v>8</v>
      </c>
      <c r="C1374" s="32"/>
      <c r="D1374" s="32"/>
      <c r="E1374" s="80"/>
      <c r="F1374" s="62" t="str">
        <f t="shared" si="96"/>
        <v/>
      </c>
      <c r="G1374" s="52"/>
      <c r="H1374" s="90">
        <f>SUM(F1374:G1380)</f>
        <v>0</v>
      </c>
    </row>
    <row r="1375" spans="1:8" x14ac:dyDescent="0.25">
      <c r="A1375" s="11">
        <v>45356</v>
      </c>
      <c r="B1375" s="68" t="s">
        <v>8</v>
      </c>
      <c r="C1375" s="8"/>
      <c r="D1375" s="8"/>
      <c r="E1375" s="9"/>
      <c r="F1375" s="14" t="str">
        <f t="shared" si="96"/>
        <v/>
      </c>
      <c r="H1375" s="91"/>
    </row>
    <row r="1376" spans="1:8" x14ac:dyDescent="0.25">
      <c r="A1376" s="6">
        <v>45357</v>
      </c>
      <c r="B1376" s="68" t="s">
        <v>8</v>
      </c>
      <c r="C1376" s="8"/>
      <c r="D1376" s="8"/>
      <c r="E1376" s="9"/>
      <c r="F1376" s="14" t="str">
        <f t="shared" si="96"/>
        <v/>
      </c>
      <c r="H1376" s="91"/>
    </row>
    <row r="1377" spans="1:8" x14ac:dyDescent="0.25">
      <c r="A1377" s="11">
        <v>45358</v>
      </c>
      <c r="B1377" s="68" t="s">
        <v>8</v>
      </c>
      <c r="C1377" s="8"/>
      <c r="D1377" s="8"/>
      <c r="E1377" s="9"/>
      <c r="F1377" s="14" t="str">
        <f t="shared" si="96"/>
        <v/>
      </c>
      <c r="H1377" s="91"/>
    </row>
    <row r="1378" spans="1:8" x14ac:dyDescent="0.25">
      <c r="A1378" s="6">
        <v>45359</v>
      </c>
      <c r="B1378" s="68" t="s">
        <v>8</v>
      </c>
      <c r="C1378" s="8"/>
      <c r="D1378" s="8"/>
      <c r="E1378" s="9"/>
      <c r="F1378" s="14" t="str">
        <f t="shared" si="96"/>
        <v/>
      </c>
      <c r="H1378" s="91"/>
    </row>
    <row r="1379" spans="1:8" x14ac:dyDescent="0.25">
      <c r="A1379" s="11">
        <v>45360</v>
      </c>
      <c r="B1379" s="68" t="s">
        <v>8</v>
      </c>
      <c r="C1379" s="8"/>
      <c r="D1379" s="8"/>
      <c r="E1379" s="9"/>
      <c r="F1379" s="14" t="str">
        <f t="shared" si="96"/>
        <v/>
      </c>
      <c r="H1379" s="91"/>
    </row>
    <row r="1380" spans="1:8" x14ac:dyDescent="0.25">
      <c r="A1380" s="34">
        <v>45361</v>
      </c>
      <c r="B1380" s="68" t="s">
        <v>8</v>
      </c>
      <c r="C1380" s="28"/>
      <c r="D1380" s="28"/>
      <c r="E1380" s="79"/>
      <c r="F1380" s="49" t="str">
        <f t="shared" si="96"/>
        <v/>
      </c>
      <c r="G1380" s="58"/>
      <c r="H1380" s="92"/>
    </row>
    <row r="1381" spans="1:8" x14ac:dyDescent="0.25">
      <c r="A1381" s="36">
        <v>45362</v>
      </c>
      <c r="B1381" s="31" t="s">
        <v>9</v>
      </c>
      <c r="C1381" s="32">
        <v>0.22569444444444445</v>
      </c>
      <c r="D1381" s="32">
        <v>0.64027777777777783</v>
      </c>
      <c r="E1381" s="80"/>
      <c r="F1381" s="62">
        <f t="shared" si="96"/>
        <v>9.9500000000000028</v>
      </c>
      <c r="G1381" s="52"/>
      <c r="H1381" s="90">
        <f>SUM(F1381:G1387)</f>
        <v>44.70000000000001</v>
      </c>
    </row>
    <row r="1382" spans="1:8" x14ac:dyDescent="0.25">
      <c r="A1382" s="6">
        <v>45363</v>
      </c>
      <c r="B1382" s="7" t="s">
        <v>9</v>
      </c>
      <c r="C1382" s="8">
        <v>0.2361111111111111</v>
      </c>
      <c r="D1382" s="8">
        <v>0.64583333333333337</v>
      </c>
      <c r="E1382" s="9"/>
      <c r="F1382" s="14">
        <f t="shared" ref="F1382:F1445" si="97">IF(AND(C1382&lt;&gt;"", D1382&lt;&gt;""), (D1382-C1382)*24, "")</f>
        <v>9.8333333333333339</v>
      </c>
      <c r="H1382" s="91"/>
    </row>
    <row r="1383" spans="1:8" x14ac:dyDescent="0.25">
      <c r="A1383" s="11">
        <v>45364</v>
      </c>
      <c r="B1383" s="7" t="s">
        <v>9</v>
      </c>
      <c r="C1383" s="8">
        <v>0.22569444444444445</v>
      </c>
      <c r="D1383" s="8" t="s">
        <v>11</v>
      </c>
      <c r="E1383" s="9"/>
      <c r="F1383" s="14">
        <f t="shared" si="97"/>
        <v>10.083333333333336</v>
      </c>
      <c r="H1383" s="91"/>
    </row>
    <row r="1384" spans="1:8" x14ac:dyDescent="0.25">
      <c r="A1384" s="6">
        <v>45365</v>
      </c>
      <c r="B1384" s="7" t="s">
        <v>9</v>
      </c>
      <c r="C1384" s="8">
        <v>0.28472222222222221</v>
      </c>
      <c r="D1384" s="8">
        <v>0.64583333333333337</v>
      </c>
      <c r="E1384" s="9"/>
      <c r="F1384" s="14">
        <f t="shared" si="97"/>
        <v>8.6666666666666679</v>
      </c>
      <c r="H1384" s="91"/>
    </row>
    <row r="1385" spans="1:8" x14ac:dyDescent="0.25">
      <c r="A1385" s="11">
        <v>45366</v>
      </c>
      <c r="B1385" s="7" t="s">
        <v>9</v>
      </c>
      <c r="C1385" s="8">
        <v>0.28472222222222221</v>
      </c>
      <c r="D1385" s="8">
        <v>0.54166666666666663</v>
      </c>
      <c r="E1385" s="9"/>
      <c r="F1385" s="14">
        <f t="shared" si="97"/>
        <v>6.1666666666666661</v>
      </c>
      <c r="H1385" s="91"/>
    </row>
    <row r="1386" spans="1:8" x14ac:dyDescent="0.25">
      <c r="A1386" s="6">
        <v>45367</v>
      </c>
      <c r="B1386" s="7" t="s">
        <v>8</v>
      </c>
      <c r="C1386" s="8"/>
      <c r="D1386" s="8"/>
      <c r="E1386" s="9"/>
      <c r="F1386" s="14" t="str">
        <f t="shared" si="97"/>
        <v/>
      </c>
      <c r="H1386" s="91"/>
    </row>
    <row r="1387" spans="1:8" x14ac:dyDescent="0.25">
      <c r="A1387" s="43">
        <v>45368</v>
      </c>
      <c r="B1387" s="68" t="s">
        <v>8</v>
      </c>
      <c r="C1387" s="28"/>
      <c r="D1387" s="28"/>
      <c r="E1387" s="79"/>
      <c r="F1387" s="49" t="str">
        <f t="shared" si="97"/>
        <v/>
      </c>
      <c r="G1387" s="58"/>
      <c r="H1387" s="92"/>
    </row>
    <row r="1388" spans="1:8" x14ac:dyDescent="0.25">
      <c r="A1388" s="23">
        <v>45369</v>
      </c>
      <c r="B1388" s="68" t="s">
        <v>8</v>
      </c>
      <c r="C1388" s="8"/>
      <c r="D1388" s="8"/>
      <c r="E1388" s="9"/>
      <c r="F1388" s="14" t="str">
        <f t="shared" si="97"/>
        <v/>
      </c>
      <c r="H1388" s="90">
        <f>SUM(F1388:G1394)</f>
        <v>36.416666666666671</v>
      </c>
    </row>
    <row r="1389" spans="1:8" x14ac:dyDescent="0.25">
      <c r="A1389" s="11">
        <v>45370</v>
      </c>
      <c r="B1389" s="7" t="s">
        <v>12</v>
      </c>
      <c r="C1389" s="8">
        <v>0.23958333333333334</v>
      </c>
      <c r="D1389" s="8">
        <v>0.64583333333333337</v>
      </c>
      <c r="E1389" s="9"/>
      <c r="F1389" s="14">
        <f t="shared" si="97"/>
        <v>9.75</v>
      </c>
      <c r="H1389" s="91"/>
    </row>
    <row r="1390" spans="1:8" x14ac:dyDescent="0.25">
      <c r="A1390" s="6">
        <v>45371</v>
      </c>
      <c r="B1390" s="7" t="s">
        <v>12</v>
      </c>
      <c r="C1390" s="8">
        <v>0.22916666666666666</v>
      </c>
      <c r="D1390" s="8" t="s">
        <v>11</v>
      </c>
      <c r="E1390" s="9"/>
      <c r="F1390" s="14">
        <f t="shared" si="97"/>
        <v>10.000000000000002</v>
      </c>
      <c r="H1390" s="91"/>
    </row>
    <row r="1391" spans="1:8" x14ac:dyDescent="0.25">
      <c r="A1391" s="11">
        <v>45372</v>
      </c>
      <c r="B1391" s="7" t="s">
        <v>9</v>
      </c>
      <c r="C1391" s="8">
        <v>0.2638888888888889</v>
      </c>
      <c r="D1391" s="8">
        <v>0.64583333333333337</v>
      </c>
      <c r="E1391" s="9"/>
      <c r="F1391" s="14">
        <f t="shared" si="97"/>
        <v>9.1666666666666679</v>
      </c>
      <c r="H1391" s="91"/>
    </row>
    <row r="1392" spans="1:8" x14ac:dyDescent="0.25">
      <c r="A1392" s="6">
        <v>45373</v>
      </c>
      <c r="B1392" s="7" t="s">
        <v>9</v>
      </c>
      <c r="C1392" s="8">
        <v>0.22916666666666666</v>
      </c>
      <c r="D1392" s="8">
        <v>0.54166666666666663</v>
      </c>
      <c r="E1392" s="9"/>
      <c r="F1392" s="14">
        <f t="shared" si="97"/>
        <v>7.5</v>
      </c>
      <c r="H1392" s="91"/>
    </row>
    <row r="1393" spans="1:8" x14ac:dyDescent="0.25">
      <c r="A1393" s="11">
        <v>45374</v>
      </c>
      <c r="B1393" s="7" t="s">
        <v>8</v>
      </c>
      <c r="C1393" s="8"/>
      <c r="D1393" s="8"/>
      <c r="E1393" s="9"/>
      <c r="F1393" s="14" t="str">
        <f t="shared" si="97"/>
        <v/>
      </c>
      <c r="H1393" s="91"/>
    </row>
    <row r="1394" spans="1:8" x14ac:dyDescent="0.25">
      <c r="A1394" s="34">
        <v>45375</v>
      </c>
      <c r="B1394" s="35" t="s">
        <v>8</v>
      </c>
      <c r="C1394" s="28"/>
      <c r="D1394" s="28"/>
      <c r="E1394" s="79"/>
      <c r="F1394" s="49" t="str">
        <f t="shared" si="97"/>
        <v/>
      </c>
      <c r="G1394" s="58"/>
      <c r="H1394" s="92"/>
    </row>
    <row r="1395" spans="1:8" x14ac:dyDescent="0.25">
      <c r="A1395" s="36">
        <v>45376</v>
      </c>
      <c r="B1395" s="81" t="s">
        <v>8</v>
      </c>
      <c r="C1395" s="32"/>
      <c r="D1395" s="32"/>
      <c r="E1395" s="80"/>
      <c r="F1395" s="62" t="str">
        <f t="shared" si="97"/>
        <v/>
      </c>
      <c r="G1395" s="52"/>
      <c r="H1395" s="90">
        <f>SUM(F1395:G1401)</f>
        <v>0</v>
      </c>
    </row>
    <row r="1396" spans="1:8" x14ac:dyDescent="0.25">
      <c r="A1396" s="6">
        <v>45377</v>
      </c>
      <c r="B1396" s="68" t="s">
        <v>8</v>
      </c>
      <c r="C1396" s="8"/>
      <c r="D1396" s="8"/>
      <c r="E1396" s="9"/>
      <c r="F1396" s="14" t="str">
        <f t="shared" si="97"/>
        <v/>
      </c>
      <c r="H1396" s="91"/>
    </row>
    <row r="1397" spans="1:8" x14ac:dyDescent="0.25">
      <c r="A1397" s="11">
        <v>45378</v>
      </c>
      <c r="B1397" s="68" t="s">
        <v>8</v>
      </c>
      <c r="C1397" s="8"/>
      <c r="D1397" s="8"/>
      <c r="E1397" s="9"/>
      <c r="F1397" s="14" t="str">
        <f t="shared" si="97"/>
        <v/>
      </c>
      <c r="H1397" s="91"/>
    </row>
    <row r="1398" spans="1:8" x14ac:dyDescent="0.25">
      <c r="A1398" s="6">
        <v>45379</v>
      </c>
      <c r="B1398" s="68" t="s">
        <v>8</v>
      </c>
      <c r="C1398" s="8"/>
      <c r="D1398" s="8"/>
      <c r="E1398" s="9"/>
      <c r="F1398" s="14" t="str">
        <f t="shared" si="97"/>
        <v/>
      </c>
      <c r="H1398" s="91"/>
    </row>
    <row r="1399" spans="1:8" x14ac:dyDescent="0.25">
      <c r="A1399" s="11">
        <v>45380</v>
      </c>
      <c r="B1399" s="7" t="s">
        <v>13</v>
      </c>
      <c r="C1399" s="8"/>
      <c r="D1399" s="8"/>
      <c r="E1399" s="9"/>
      <c r="F1399" s="14" t="str">
        <f t="shared" si="97"/>
        <v/>
      </c>
      <c r="H1399" s="91"/>
    </row>
    <row r="1400" spans="1:8" x14ac:dyDescent="0.25">
      <c r="A1400" s="6">
        <v>45381</v>
      </c>
      <c r="B1400" s="7" t="s">
        <v>13</v>
      </c>
      <c r="C1400" s="8"/>
      <c r="D1400" s="8"/>
      <c r="E1400" s="9"/>
      <c r="F1400" s="14" t="str">
        <f t="shared" si="97"/>
        <v/>
      </c>
      <c r="H1400" s="91"/>
    </row>
    <row r="1401" spans="1:8" x14ac:dyDescent="0.25">
      <c r="A1401" s="43">
        <v>45382</v>
      </c>
      <c r="B1401" s="7" t="s">
        <v>13</v>
      </c>
      <c r="C1401" s="28"/>
      <c r="D1401" s="28"/>
      <c r="E1401" s="79"/>
      <c r="F1401" s="49" t="str">
        <f t="shared" si="97"/>
        <v/>
      </c>
      <c r="G1401" s="58"/>
      <c r="H1401" s="92"/>
    </row>
    <row r="1402" spans="1:8" x14ac:dyDescent="0.25">
      <c r="A1402" s="30">
        <v>45383</v>
      </c>
      <c r="B1402" s="7" t="s">
        <v>13</v>
      </c>
      <c r="C1402" s="32"/>
      <c r="D1402" s="32"/>
      <c r="E1402" s="80"/>
      <c r="F1402" s="62" t="str">
        <f t="shared" si="97"/>
        <v/>
      </c>
      <c r="G1402" s="52">
        <v>2</v>
      </c>
      <c r="H1402" s="90">
        <f>SUM(F1402:G1408)</f>
        <v>65.083333333333343</v>
      </c>
    </row>
    <row r="1403" spans="1:8" x14ac:dyDescent="0.25">
      <c r="A1403" s="11">
        <v>45384</v>
      </c>
      <c r="B1403" s="7" t="s">
        <v>12</v>
      </c>
      <c r="C1403" s="8">
        <v>0.22569444444444445</v>
      </c>
      <c r="D1403" s="8">
        <v>0.66666666666666663</v>
      </c>
      <c r="E1403" s="9"/>
      <c r="F1403" s="14">
        <f t="shared" si="97"/>
        <v>10.583333333333332</v>
      </c>
      <c r="H1403" s="91"/>
    </row>
    <row r="1404" spans="1:8" x14ac:dyDescent="0.25">
      <c r="A1404" s="6">
        <v>45385</v>
      </c>
      <c r="B1404" s="7" t="s">
        <v>12</v>
      </c>
      <c r="C1404" s="8">
        <v>0.22916666666666666</v>
      </c>
      <c r="D1404" s="8" t="s">
        <v>11</v>
      </c>
      <c r="E1404" s="9"/>
      <c r="F1404" s="14">
        <f t="shared" si="97"/>
        <v>10.000000000000002</v>
      </c>
      <c r="G1404">
        <v>1</v>
      </c>
      <c r="H1404" s="91"/>
    </row>
    <row r="1405" spans="1:8" x14ac:dyDescent="0.25">
      <c r="A1405" s="11">
        <v>45386</v>
      </c>
      <c r="B1405" s="7" t="s">
        <v>9</v>
      </c>
      <c r="C1405" s="8">
        <v>0.22916666666666666</v>
      </c>
      <c r="D1405" s="8">
        <v>0.66666666666666663</v>
      </c>
      <c r="E1405" s="9"/>
      <c r="F1405" s="14">
        <f t="shared" si="97"/>
        <v>10.5</v>
      </c>
      <c r="G1405">
        <v>1</v>
      </c>
      <c r="H1405" s="91"/>
    </row>
    <row r="1406" spans="1:8" x14ac:dyDescent="0.25">
      <c r="A1406" s="6">
        <v>45387</v>
      </c>
      <c r="B1406" s="7" t="s">
        <v>9</v>
      </c>
      <c r="C1406" s="8">
        <v>0.22222222222222221</v>
      </c>
      <c r="D1406" s="8">
        <v>0.54166666666666663</v>
      </c>
      <c r="E1406" s="9"/>
      <c r="F1406" s="14">
        <f t="shared" si="97"/>
        <v>7.6666666666666661</v>
      </c>
      <c r="G1406">
        <v>2</v>
      </c>
      <c r="H1406" s="91"/>
    </row>
    <row r="1407" spans="1:8" x14ac:dyDescent="0.25">
      <c r="A1407" s="11">
        <v>45388</v>
      </c>
      <c r="B1407" s="7" t="s">
        <v>15</v>
      </c>
      <c r="C1407" s="8">
        <v>0.28472222222222221</v>
      </c>
      <c r="D1407" s="8">
        <v>0.64583333333333337</v>
      </c>
      <c r="E1407" s="9"/>
      <c r="F1407" s="14">
        <f t="shared" si="97"/>
        <v>8.6666666666666679</v>
      </c>
      <c r="G1407">
        <v>3</v>
      </c>
      <c r="H1407" s="91"/>
    </row>
    <row r="1408" spans="1:8" x14ac:dyDescent="0.25">
      <c r="A1408" s="34">
        <v>45389</v>
      </c>
      <c r="B1408" s="35" t="s">
        <v>15</v>
      </c>
      <c r="C1408" s="8">
        <v>0.28472222222222221</v>
      </c>
      <c r="D1408" s="8">
        <v>0.64583333333333337</v>
      </c>
      <c r="E1408" s="9"/>
      <c r="F1408" s="49">
        <f t="shared" si="97"/>
        <v>8.6666666666666679</v>
      </c>
      <c r="G1408" s="58"/>
      <c r="H1408" s="92"/>
    </row>
    <row r="1409" spans="1:8" x14ac:dyDescent="0.25">
      <c r="A1409" s="36">
        <v>45390</v>
      </c>
      <c r="B1409" s="31" t="s">
        <v>9</v>
      </c>
      <c r="C1409" s="32">
        <v>0.22222222222222221</v>
      </c>
      <c r="D1409" s="32">
        <v>0.625</v>
      </c>
      <c r="E1409" s="80"/>
      <c r="F1409" s="62">
        <f t="shared" si="97"/>
        <v>9.6666666666666679</v>
      </c>
      <c r="G1409" s="52">
        <v>1</v>
      </c>
      <c r="H1409" s="90">
        <f>SUM(F1409:G1415)</f>
        <v>70.166666666666671</v>
      </c>
    </row>
    <row r="1410" spans="1:8" x14ac:dyDescent="0.25">
      <c r="A1410" s="6">
        <v>45391</v>
      </c>
      <c r="B1410" s="7" t="s">
        <v>12</v>
      </c>
      <c r="C1410" s="8">
        <v>0.24305555555555555</v>
      </c>
      <c r="D1410" s="8">
        <v>0.64583333333333337</v>
      </c>
      <c r="E1410" s="9"/>
      <c r="F1410" s="14">
        <f t="shared" si="97"/>
        <v>9.6666666666666679</v>
      </c>
      <c r="H1410" s="91"/>
    </row>
    <row r="1411" spans="1:8" x14ac:dyDescent="0.25">
      <c r="A1411" s="11">
        <v>45392</v>
      </c>
      <c r="B1411" s="7" t="s">
        <v>12</v>
      </c>
      <c r="C1411" s="8">
        <v>0.24305555555555555</v>
      </c>
      <c r="D1411" s="8" t="s">
        <v>11</v>
      </c>
      <c r="E1411" s="9"/>
      <c r="F1411" s="14">
        <f t="shared" si="97"/>
        <v>9.6666666666666679</v>
      </c>
      <c r="H1411" s="91"/>
    </row>
    <row r="1412" spans="1:8" x14ac:dyDescent="0.25">
      <c r="A1412" s="6">
        <v>45393</v>
      </c>
      <c r="B1412" s="7" t="s">
        <v>9</v>
      </c>
      <c r="C1412" s="8">
        <v>0.28472222222222221</v>
      </c>
      <c r="D1412" s="8">
        <v>0.64583333333333337</v>
      </c>
      <c r="E1412" s="9"/>
      <c r="F1412" s="14">
        <f t="shared" si="97"/>
        <v>8.6666666666666679</v>
      </c>
      <c r="H1412" s="91"/>
    </row>
    <row r="1413" spans="1:8" x14ac:dyDescent="0.25">
      <c r="A1413" s="11">
        <v>45394</v>
      </c>
      <c r="B1413" s="7" t="s">
        <v>9</v>
      </c>
      <c r="C1413" s="8">
        <v>0.28472222222222221</v>
      </c>
      <c r="D1413" s="8">
        <v>0.54166666666666663</v>
      </c>
      <c r="E1413" s="9"/>
      <c r="F1413" s="14">
        <f t="shared" si="97"/>
        <v>6.1666666666666661</v>
      </c>
      <c r="G1413">
        <v>2</v>
      </c>
      <c r="H1413" s="91"/>
    </row>
    <row r="1414" spans="1:8" x14ac:dyDescent="0.25">
      <c r="A1414" s="6">
        <v>45395</v>
      </c>
      <c r="B1414" s="7" t="s">
        <v>15</v>
      </c>
      <c r="C1414" s="8">
        <v>0.28472222222222221</v>
      </c>
      <c r="D1414" s="8">
        <v>0.64583333333333337</v>
      </c>
      <c r="E1414" s="9"/>
      <c r="F1414" s="14">
        <f t="shared" si="97"/>
        <v>8.6666666666666679</v>
      </c>
      <c r="G1414">
        <v>3</v>
      </c>
      <c r="H1414" s="91"/>
    </row>
    <row r="1415" spans="1:8" x14ac:dyDescent="0.25">
      <c r="A1415" s="43">
        <v>45396</v>
      </c>
      <c r="B1415" s="35" t="s">
        <v>15</v>
      </c>
      <c r="C1415" s="8">
        <v>0.28472222222222221</v>
      </c>
      <c r="D1415" s="8">
        <v>0.64583333333333337</v>
      </c>
      <c r="E1415" s="9"/>
      <c r="F1415" s="49">
        <f t="shared" si="97"/>
        <v>8.6666666666666679</v>
      </c>
      <c r="G1415" s="58">
        <v>3</v>
      </c>
      <c r="H1415" s="92"/>
    </row>
    <row r="1416" spans="1:8" x14ac:dyDescent="0.25">
      <c r="A1416" s="30">
        <v>45397</v>
      </c>
      <c r="B1416" s="31" t="s">
        <v>9</v>
      </c>
      <c r="C1416" s="32">
        <v>0.22222222222222221</v>
      </c>
      <c r="D1416" s="32">
        <v>0.63888888888888895</v>
      </c>
      <c r="E1416" s="80"/>
      <c r="F1416" s="62">
        <f t="shared" si="97"/>
        <v>10.000000000000002</v>
      </c>
      <c r="G1416" s="52"/>
      <c r="H1416" s="90">
        <f>SUM(F1416:G1422)</f>
        <v>44.333333333333336</v>
      </c>
    </row>
    <row r="1417" spans="1:8" x14ac:dyDescent="0.25">
      <c r="A1417" s="11">
        <v>45398</v>
      </c>
      <c r="B1417" s="7" t="s">
        <v>12</v>
      </c>
      <c r="C1417" s="8">
        <v>0.23611111111111113</v>
      </c>
      <c r="D1417" s="8">
        <v>0.64583333333333337</v>
      </c>
      <c r="E1417" s="9"/>
      <c r="F1417" s="14">
        <f t="shared" si="97"/>
        <v>9.8333333333333321</v>
      </c>
      <c r="H1417" s="91"/>
    </row>
    <row r="1418" spans="1:8" x14ac:dyDescent="0.25">
      <c r="A1418" s="6">
        <v>45399</v>
      </c>
      <c r="B1418" s="7" t="s">
        <v>12</v>
      </c>
      <c r="C1418" s="8">
        <v>0.23611111111111113</v>
      </c>
      <c r="D1418" s="8">
        <v>0.625</v>
      </c>
      <c r="E1418" s="9"/>
      <c r="F1418" s="14">
        <f t="shared" si="97"/>
        <v>9.3333333333333321</v>
      </c>
      <c r="H1418" s="91"/>
    </row>
    <row r="1419" spans="1:8" x14ac:dyDescent="0.25">
      <c r="A1419" s="11">
        <v>45400</v>
      </c>
      <c r="B1419" s="7" t="s">
        <v>9</v>
      </c>
      <c r="C1419" s="8">
        <v>0.27083333333333331</v>
      </c>
      <c r="D1419" s="8">
        <v>0.64583333333333337</v>
      </c>
      <c r="E1419" s="9"/>
      <c r="F1419" s="14">
        <f t="shared" si="97"/>
        <v>9.0000000000000018</v>
      </c>
      <c r="H1419" s="91"/>
    </row>
    <row r="1420" spans="1:8" x14ac:dyDescent="0.25">
      <c r="A1420" s="6">
        <v>45401</v>
      </c>
      <c r="B1420" s="7" t="s">
        <v>9</v>
      </c>
      <c r="C1420" s="8">
        <v>0.28472222222222221</v>
      </c>
      <c r="D1420" s="8">
        <v>0.54166666666666663</v>
      </c>
      <c r="E1420" s="9"/>
      <c r="F1420" s="14">
        <f t="shared" si="97"/>
        <v>6.1666666666666661</v>
      </c>
      <c r="H1420" s="91"/>
    </row>
    <row r="1421" spans="1:8" x14ac:dyDescent="0.25">
      <c r="A1421" s="11">
        <v>45402</v>
      </c>
      <c r="B1421" s="68" t="s">
        <v>8</v>
      </c>
      <c r="C1421" s="8"/>
      <c r="D1421" s="8"/>
      <c r="E1421" s="9"/>
      <c r="F1421" s="14" t="str">
        <f t="shared" si="97"/>
        <v/>
      </c>
      <c r="H1421" s="91"/>
    </row>
    <row r="1422" spans="1:8" x14ac:dyDescent="0.25">
      <c r="A1422" s="34">
        <v>45403</v>
      </c>
      <c r="B1422" s="35" t="s">
        <v>8</v>
      </c>
      <c r="C1422" s="28"/>
      <c r="D1422" s="28"/>
      <c r="E1422" s="79"/>
      <c r="F1422" s="49" t="str">
        <f t="shared" si="97"/>
        <v/>
      </c>
      <c r="G1422" s="58"/>
      <c r="H1422" s="92"/>
    </row>
    <row r="1423" spans="1:8" x14ac:dyDescent="0.25">
      <c r="A1423" s="36">
        <v>45404</v>
      </c>
      <c r="B1423" s="81" t="s">
        <v>8</v>
      </c>
      <c r="C1423" s="32"/>
      <c r="D1423" s="32"/>
      <c r="E1423" s="80"/>
      <c r="F1423" s="62" t="str">
        <f t="shared" si="97"/>
        <v/>
      </c>
      <c r="G1423" s="52"/>
      <c r="H1423" s="90">
        <f>SUM(F1423:G1429)</f>
        <v>0</v>
      </c>
    </row>
    <row r="1424" spans="1:8" x14ac:dyDescent="0.25">
      <c r="A1424" s="6">
        <v>45405</v>
      </c>
      <c r="B1424" s="68" t="s">
        <v>8</v>
      </c>
      <c r="C1424" s="8"/>
      <c r="D1424" s="8"/>
      <c r="E1424" s="9"/>
      <c r="F1424" s="14" t="str">
        <f t="shared" si="97"/>
        <v/>
      </c>
      <c r="H1424" s="91"/>
    </row>
    <row r="1425" spans="1:8" x14ac:dyDescent="0.25">
      <c r="A1425" s="11">
        <v>45406</v>
      </c>
      <c r="B1425" s="68" t="s">
        <v>8</v>
      </c>
      <c r="C1425" s="8"/>
      <c r="D1425" s="8"/>
      <c r="E1425" s="9"/>
      <c r="F1425" s="14" t="str">
        <f t="shared" si="97"/>
        <v/>
      </c>
      <c r="H1425" s="91"/>
    </row>
    <row r="1426" spans="1:8" x14ac:dyDescent="0.25">
      <c r="A1426" s="6">
        <v>45407</v>
      </c>
      <c r="B1426" s="7" t="s">
        <v>13</v>
      </c>
      <c r="C1426" s="8"/>
      <c r="D1426" s="8"/>
      <c r="E1426" s="9"/>
      <c r="F1426" s="14" t="str">
        <f t="shared" si="97"/>
        <v/>
      </c>
      <c r="H1426" s="91"/>
    </row>
    <row r="1427" spans="1:8" x14ac:dyDescent="0.25">
      <c r="A1427" s="11">
        <v>45408</v>
      </c>
      <c r="B1427" s="68" t="s">
        <v>8</v>
      </c>
      <c r="C1427" s="8"/>
      <c r="D1427" s="8"/>
      <c r="E1427" s="9"/>
      <c r="F1427" s="14" t="str">
        <f t="shared" si="97"/>
        <v/>
      </c>
      <c r="H1427" s="91"/>
    </row>
    <row r="1428" spans="1:8" x14ac:dyDescent="0.25">
      <c r="A1428" s="6">
        <v>45409</v>
      </c>
      <c r="B1428" s="68" t="s">
        <v>8</v>
      </c>
      <c r="C1428" s="8"/>
      <c r="D1428" s="8"/>
      <c r="E1428" s="9"/>
      <c r="F1428" s="14" t="str">
        <f t="shared" si="97"/>
        <v/>
      </c>
      <c r="H1428" s="91"/>
    </row>
    <row r="1429" spans="1:8" x14ac:dyDescent="0.25">
      <c r="A1429" s="43">
        <v>45410</v>
      </c>
      <c r="B1429" s="35" t="s">
        <v>8</v>
      </c>
      <c r="C1429" s="28"/>
      <c r="D1429" s="28"/>
      <c r="E1429" s="79"/>
      <c r="F1429" s="49" t="str">
        <f t="shared" si="97"/>
        <v/>
      </c>
      <c r="G1429" s="58"/>
      <c r="H1429" s="92"/>
    </row>
    <row r="1430" spans="1:8" x14ac:dyDescent="0.25">
      <c r="A1430" s="23">
        <v>45411</v>
      </c>
      <c r="B1430" s="35" t="s">
        <v>8</v>
      </c>
      <c r="C1430" s="32"/>
      <c r="D1430" s="32"/>
      <c r="E1430" s="9"/>
      <c r="F1430" s="14" t="str">
        <f t="shared" si="97"/>
        <v/>
      </c>
      <c r="H1430" s="90">
        <f>SUM(F1430:G1436)</f>
        <v>36.5</v>
      </c>
    </row>
    <row r="1431" spans="1:8" x14ac:dyDescent="0.25">
      <c r="A1431" s="11">
        <v>45412</v>
      </c>
      <c r="B1431" s="7" t="s">
        <v>9</v>
      </c>
      <c r="C1431" s="32">
        <v>0.22222222222222221</v>
      </c>
      <c r="D1431" s="8">
        <v>0.64583333333333337</v>
      </c>
      <c r="E1431" s="9"/>
      <c r="F1431" s="14">
        <f t="shared" si="97"/>
        <v>10.166666666666668</v>
      </c>
      <c r="H1431" s="91"/>
    </row>
    <row r="1432" spans="1:8" x14ac:dyDescent="0.25">
      <c r="A1432" s="6">
        <v>45413</v>
      </c>
      <c r="B1432" s="7" t="s">
        <v>12</v>
      </c>
      <c r="C1432" s="32">
        <v>0.22222222222222221</v>
      </c>
      <c r="D1432" s="8">
        <v>0.64583333333333337</v>
      </c>
      <c r="E1432" s="9"/>
      <c r="F1432" s="14">
        <f t="shared" si="97"/>
        <v>10.166666666666668</v>
      </c>
      <c r="H1432" s="91"/>
    </row>
    <row r="1433" spans="1:8" x14ac:dyDescent="0.25">
      <c r="A1433" s="11">
        <v>45414</v>
      </c>
      <c r="B1433" s="7" t="s">
        <v>9</v>
      </c>
      <c r="C1433" s="8">
        <v>0.22916666666666666</v>
      </c>
      <c r="D1433" s="8">
        <v>0.64583333333333337</v>
      </c>
      <c r="E1433" s="9"/>
      <c r="F1433" s="14">
        <f t="shared" si="97"/>
        <v>10.000000000000002</v>
      </c>
      <c r="H1433" s="91"/>
    </row>
    <row r="1434" spans="1:8" x14ac:dyDescent="0.25">
      <c r="A1434" s="6">
        <v>45415</v>
      </c>
      <c r="B1434" s="7" t="s">
        <v>12</v>
      </c>
      <c r="C1434" s="8">
        <v>0.28472222222222221</v>
      </c>
      <c r="D1434" s="8">
        <v>0.54166666666666663</v>
      </c>
      <c r="E1434" s="9"/>
      <c r="F1434" s="14">
        <f t="shared" si="97"/>
        <v>6.1666666666666661</v>
      </c>
      <c r="H1434" s="91"/>
    </row>
    <row r="1435" spans="1:8" x14ac:dyDescent="0.25">
      <c r="A1435" s="11">
        <v>45416</v>
      </c>
      <c r="B1435" s="7"/>
      <c r="C1435" s="8"/>
      <c r="D1435" s="8"/>
      <c r="E1435" s="9"/>
      <c r="F1435" s="14" t="str">
        <f t="shared" si="97"/>
        <v/>
      </c>
      <c r="H1435" s="91"/>
    </row>
    <row r="1436" spans="1:8" x14ac:dyDescent="0.25">
      <c r="A1436" s="6">
        <v>45417</v>
      </c>
      <c r="B1436" s="7"/>
      <c r="C1436" s="8"/>
      <c r="D1436" s="8"/>
      <c r="E1436" s="9"/>
      <c r="F1436" s="14" t="str">
        <f t="shared" si="97"/>
        <v/>
      </c>
      <c r="H1436" s="92"/>
    </row>
    <row r="1437" spans="1:8" x14ac:dyDescent="0.25">
      <c r="A1437" s="11">
        <v>45418</v>
      </c>
      <c r="B1437" s="7" t="s">
        <v>13</v>
      </c>
      <c r="C1437" s="32"/>
      <c r="D1437" s="8"/>
      <c r="E1437" s="9"/>
      <c r="F1437" s="14" t="str">
        <f t="shared" si="97"/>
        <v/>
      </c>
      <c r="H1437" s="90">
        <f>SUM(F1437:G1443)</f>
        <v>36.416666666666664</v>
      </c>
    </row>
    <row r="1438" spans="1:8" x14ac:dyDescent="0.25">
      <c r="A1438" s="6">
        <v>45419</v>
      </c>
      <c r="B1438" s="7" t="s">
        <v>9</v>
      </c>
      <c r="C1438" s="32">
        <v>0.22222222222222221</v>
      </c>
      <c r="D1438" s="8">
        <v>0.66666666666666663</v>
      </c>
      <c r="E1438" s="9"/>
      <c r="F1438" s="14">
        <f t="shared" si="97"/>
        <v>10.666666666666666</v>
      </c>
      <c r="H1438" s="91"/>
    </row>
    <row r="1439" spans="1:8" x14ac:dyDescent="0.25">
      <c r="A1439" s="11">
        <v>45420</v>
      </c>
      <c r="B1439" s="7" t="s">
        <v>12</v>
      </c>
      <c r="C1439" s="32">
        <v>0.23958333333333334</v>
      </c>
      <c r="D1439" s="8">
        <v>0.66666666666666663</v>
      </c>
      <c r="E1439" s="9"/>
      <c r="F1439" s="14">
        <f t="shared" si="97"/>
        <v>10.249999999999998</v>
      </c>
      <c r="H1439" s="91"/>
    </row>
    <row r="1440" spans="1:8" x14ac:dyDescent="0.25">
      <c r="A1440" s="6">
        <v>45421</v>
      </c>
      <c r="B1440" s="7" t="s">
        <v>9</v>
      </c>
      <c r="C1440" s="8">
        <v>0.2361111111111111</v>
      </c>
      <c r="D1440" s="8">
        <v>0.66666666666666663</v>
      </c>
      <c r="E1440" s="9"/>
      <c r="F1440" s="14">
        <f t="shared" si="97"/>
        <v>10.333333333333332</v>
      </c>
      <c r="H1440" s="91"/>
    </row>
    <row r="1441" spans="1:8" x14ac:dyDescent="0.25">
      <c r="A1441" s="11">
        <v>45422</v>
      </c>
      <c r="B1441" s="7" t="s">
        <v>9</v>
      </c>
      <c r="C1441" s="8">
        <v>0.28472222222222221</v>
      </c>
      <c r="D1441" s="8">
        <v>0.5</v>
      </c>
      <c r="E1441" s="9"/>
      <c r="F1441" s="14">
        <f t="shared" si="97"/>
        <v>5.166666666666667</v>
      </c>
      <c r="H1441" s="91"/>
    </row>
    <row r="1442" spans="1:8" x14ac:dyDescent="0.25">
      <c r="A1442" s="6">
        <v>45423</v>
      </c>
      <c r="B1442" s="7"/>
      <c r="C1442" s="8"/>
      <c r="D1442" s="8"/>
      <c r="E1442" s="9"/>
      <c r="F1442" s="14" t="str">
        <f t="shared" si="97"/>
        <v/>
      </c>
      <c r="H1442" s="91"/>
    </row>
    <row r="1443" spans="1:8" x14ac:dyDescent="0.25">
      <c r="A1443" s="11">
        <v>45424</v>
      </c>
      <c r="B1443" s="7"/>
      <c r="C1443" s="8"/>
      <c r="D1443" s="8"/>
      <c r="E1443" s="9"/>
      <c r="F1443" s="14" t="str">
        <f t="shared" si="97"/>
        <v/>
      </c>
      <c r="H1443" s="92"/>
    </row>
    <row r="1444" spans="1:8" x14ac:dyDescent="0.25">
      <c r="A1444" s="6">
        <v>45425</v>
      </c>
      <c r="B1444" s="82" t="s">
        <v>9</v>
      </c>
      <c r="C1444" s="32">
        <v>0.22222222222222221</v>
      </c>
      <c r="D1444" s="8">
        <v>0.64583333333333337</v>
      </c>
      <c r="E1444" s="9"/>
      <c r="F1444" s="14">
        <f t="shared" si="97"/>
        <v>10.166666666666668</v>
      </c>
      <c r="H1444" s="90">
        <f>SUM(F1444:G1450)</f>
        <v>47.416666666666664</v>
      </c>
    </row>
    <row r="1445" spans="1:8" x14ac:dyDescent="0.25">
      <c r="A1445" s="11">
        <v>45426</v>
      </c>
      <c r="B1445" s="82" t="s">
        <v>9</v>
      </c>
      <c r="C1445" s="8">
        <v>0.22222222222222221</v>
      </c>
      <c r="D1445" s="8">
        <v>0.66666666666666663</v>
      </c>
      <c r="E1445" s="9"/>
      <c r="F1445" s="14">
        <f t="shared" si="97"/>
        <v>10.666666666666666</v>
      </c>
      <c r="H1445" s="91"/>
    </row>
    <row r="1446" spans="1:8" x14ac:dyDescent="0.25">
      <c r="A1446" s="6">
        <v>45427</v>
      </c>
      <c r="B1446" s="82" t="s">
        <v>9</v>
      </c>
      <c r="C1446" s="8">
        <v>0.21875</v>
      </c>
      <c r="D1446" s="8">
        <v>0.64583333333333337</v>
      </c>
      <c r="E1446" s="9"/>
      <c r="F1446" s="14">
        <f t="shared" ref="F1446:F1499" si="98">IF(AND(C1446&lt;&gt;"", D1446&lt;&gt;""), (D1446-C1446)*24, "")</f>
        <v>10.25</v>
      </c>
      <c r="H1446" s="91"/>
    </row>
    <row r="1447" spans="1:8" x14ac:dyDescent="0.25">
      <c r="A1447" s="11">
        <v>45428</v>
      </c>
      <c r="B1447" s="82" t="s">
        <v>9</v>
      </c>
      <c r="C1447" s="8">
        <v>0.22222222222222221</v>
      </c>
      <c r="D1447" s="8">
        <v>0.64583333333333337</v>
      </c>
      <c r="E1447" s="9"/>
      <c r="F1447" s="14">
        <f t="shared" si="98"/>
        <v>10.166666666666668</v>
      </c>
      <c r="H1447" s="91"/>
    </row>
    <row r="1448" spans="1:8" x14ac:dyDescent="0.25">
      <c r="A1448" s="6">
        <v>45429</v>
      </c>
      <c r="B1448" s="82" t="s">
        <v>9</v>
      </c>
      <c r="C1448" s="8">
        <v>0.28472222222222221</v>
      </c>
      <c r="D1448" s="8">
        <v>0.54166666666666663</v>
      </c>
      <c r="E1448" s="9"/>
      <c r="F1448" s="14">
        <f t="shared" si="98"/>
        <v>6.1666666666666661</v>
      </c>
      <c r="H1448" s="91"/>
    </row>
    <row r="1449" spans="1:8" x14ac:dyDescent="0.25">
      <c r="A1449" s="11">
        <v>45430</v>
      </c>
      <c r="B1449" s="7"/>
      <c r="C1449" s="8"/>
      <c r="D1449" s="8"/>
      <c r="E1449" s="9"/>
      <c r="F1449" s="14" t="str">
        <f t="shared" si="98"/>
        <v/>
      </c>
      <c r="H1449" s="91"/>
    </row>
    <row r="1450" spans="1:8" x14ac:dyDescent="0.25">
      <c r="A1450" s="6">
        <v>45431</v>
      </c>
      <c r="B1450" s="7"/>
      <c r="C1450" s="8"/>
      <c r="D1450" s="8"/>
      <c r="E1450" s="9"/>
      <c r="F1450" s="14" t="str">
        <f t="shared" si="98"/>
        <v/>
      </c>
      <c r="H1450" s="92"/>
    </row>
    <row r="1451" spans="1:8" x14ac:dyDescent="0.25">
      <c r="A1451" s="11">
        <v>45432</v>
      </c>
      <c r="B1451" s="82" t="s">
        <v>9</v>
      </c>
      <c r="C1451" s="32">
        <v>0.22222222222222221</v>
      </c>
      <c r="D1451" s="8">
        <v>0.64583333333333337</v>
      </c>
      <c r="E1451" s="9"/>
      <c r="F1451" s="14">
        <f t="shared" si="98"/>
        <v>10.166666666666668</v>
      </c>
      <c r="H1451" s="90">
        <f>SUM(F1451:G1457)</f>
        <v>31.75</v>
      </c>
    </row>
    <row r="1452" spans="1:8" x14ac:dyDescent="0.25">
      <c r="A1452" s="6">
        <v>45433</v>
      </c>
      <c r="B1452" s="83" t="s">
        <v>12</v>
      </c>
      <c r="C1452" s="8">
        <v>0.23611111111111113</v>
      </c>
      <c r="D1452" s="8">
        <v>0.68055555555555547</v>
      </c>
      <c r="E1452" s="9"/>
      <c r="F1452" s="14">
        <f t="shared" si="98"/>
        <v>10.666666666666664</v>
      </c>
      <c r="H1452" s="91"/>
    </row>
    <row r="1453" spans="1:8" x14ac:dyDescent="0.25">
      <c r="A1453" s="11">
        <v>45434</v>
      </c>
      <c r="B1453" s="35" t="s">
        <v>8</v>
      </c>
      <c r="C1453" s="8"/>
      <c r="D1453" s="8"/>
      <c r="E1453" s="9"/>
      <c r="F1453" s="14" t="str">
        <f t="shared" si="98"/>
        <v/>
      </c>
      <c r="H1453" s="91"/>
    </row>
    <row r="1454" spans="1:8" x14ac:dyDescent="0.25">
      <c r="A1454" s="6">
        <v>45435</v>
      </c>
      <c r="B1454" s="82" t="s">
        <v>9</v>
      </c>
      <c r="C1454" s="8">
        <v>0.23958333333333334</v>
      </c>
      <c r="D1454" s="8">
        <v>0.4375</v>
      </c>
      <c r="E1454" s="9"/>
      <c r="F1454" s="14">
        <f t="shared" si="98"/>
        <v>4.75</v>
      </c>
      <c r="H1454" s="91"/>
    </row>
    <row r="1455" spans="1:8" x14ac:dyDescent="0.25">
      <c r="A1455" s="11">
        <v>45436</v>
      </c>
      <c r="B1455" s="35" t="s">
        <v>8</v>
      </c>
      <c r="C1455" s="8">
        <v>0.28472222222222221</v>
      </c>
      <c r="D1455" s="8">
        <v>0.54166666666666663</v>
      </c>
      <c r="E1455" s="9"/>
      <c r="F1455" s="14">
        <f t="shared" si="98"/>
        <v>6.1666666666666661</v>
      </c>
      <c r="H1455" s="91"/>
    </row>
    <row r="1456" spans="1:8" x14ac:dyDescent="0.25">
      <c r="A1456" s="6">
        <v>45437</v>
      </c>
      <c r="B1456" s="7"/>
      <c r="C1456" s="8"/>
      <c r="D1456" s="8"/>
      <c r="E1456" s="9"/>
      <c r="F1456" s="14" t="str">
        <f t="shared" si="98"/>
        <v/>
      </c>
      <c r="H1456" s="91"/>
    </row>
    <row r="1457" spans="1:8" x14ac:dyDescent="0.25">
      <c r="A1457" s="11">
        <v>45438</v>
      </c>
      <c r="B1457" s="7"/>
      <c r="C1457" s="8"/>
      <c r="D1457" s="8"/>
      <c r="E1457" s="9"/>
      <c r="F1457" s="14" t="str">
        <f t="shared" si="98"/>
        <v/>
      </c>
      <c r="H1457" s="92"/>
    </row>
    <row r="1458" spans="1:8" x14ac:dyDescent="0.25">
      <c r="A1458" s="6">
        <v>45439</v>
      </c>
      <c r="B1458" s="82" t="s">
        <v>9</v>
      </c>
      <c r="C1458" s="8">
        <v>0.22569444444444445</v>
      </c>
      <c r="D1458" s="8">
        <v>0.66666666666666663</v>
      </c>
      <c r="E1458" s="9"/>
      <c r="F1458" s="14">
        <f t="shared" si="98"/>
        <v>10.583333333333332</v>
      </c>
      <c r="H1458" s="90">
        <f>SUM(F1458:G1464)</f>
        <v>46.333333333333329</v>
      </c>
    </row>
    <row r="1459" spans="1:8" x14ac:dyDescent="0.25">
      <c r="A1459" s="11">
        <v>45440</v>
      </c>
      <c r="B1459" s="82" t="s">
        <v>9</v>
      </c>
      <c r="C1459" s="8">
        <v>0.22569444444444445</v>
      </c>
      <c r="D1459" s="8">
        <v>0.66666666666666663</v>
      </c>
      <c r="E1459" s="9"/>
      <c r="F1459" s="14">
        <f t="shared" si="98"/>
        <v>10.583333333333332</v>
      </c>
      <c r="H1459" s="91"/>
    </row>
    <row r="1460" spans="1:8" x14ac:dyDescent="0.25">
      <c r="A1460" s="6">
        <v>45441</v>
      </c>
      <c r="B1460" s="82" t="s">
        <v>9</v>
      </c>
      <c r="C1460" s="8">
        <v>0.22916666666666666</v>
      </c>
      <c r="D1460" s="8">
        <v>0.64583333333333337</v>
      </c>
      <c r="E1460" s="9"/>
      <c r="F1460" s="14">
        <f t="shared" si="98"/>
        <v>10.000000000000002</v>
      </c>
      <c r="H1460" s="91"/>
    </row>
    <row r="1461" spans="1:8" x14ac:dyDescent="0.25">
      <c r="A1461" s="11">
        <v>45442</v>
      </c>
      <c r="B1461" s="83" t="s">
        <v>12</v>
      </c>
      <c r="C1461" s="8">
        <v>0.22916666666666666</v>
      </c>
      <c r="D1461" s="8">
        <v>0.60416666666666663</v>
      </c>
      <c r="E1461" s="9"/>
      <c r="F1461" s="14">
        <f t="shared" si="98"/>
        <v>9</v>
      </c>
      <c r="H1461" s="91"/>
    </row>
    <row r="1462" spans="1:8" x14ac:dyDescent="0.25">
      <c r="A1462" s="6">
        <v>45443</v>
      </c>
      <c r="B1462" s="82" t="s">
        <v>9</v>
      </c>
      <c r="C1462" s="8">
        <v>0.28472222222222221</v>
      </c>
      <c r="D1462" s="8">
        <v>0.54166666666666663</v>
      </c>
      <c r="E1462" s="9"/>
      <c r="F1462" s="14">
        <f t="shared" si="98"/>
        <v>6.1666666666666661</v>
      </c>
      <c r="H1462" s="91"/>
    </row>
    <row r="1463" spans="1:8" x14ac:dyDescent="0.25">
      <c r="A1463" s="11">
        <v>45444</v>
      </c>
      <c r="B1463" s="7"/>
      <c r="C1463" s="8"/>
      <c r="D1463" s="8"/>
      <c r="E1463" s="9"/>
      <c r="F1463" s="14" t="str">
        <f t="shared" si="98"/>
        <v/>
      </c>
      <c r="H1463" s="91"/>
    </row>
    <row r="1464" spans="1:8" x14ac:dyDescent="0.25">
      <c r="A1464" s="6">
        <v>45445</v>
      </c>
      <c r="B1464" s="7"/>
      <c r="C1464" s="8"/>
      <c r="D1464" s="8"/>
      <c r="E1464" s="9"/>
      <c r="F1464" s="14" t="str">
        <f t="shared" si="98"/>
        <v/>
      </c>
      <c r="H1464" s="92"/>
    </row>
    <row r="1465" spans="1:8" x14ac:dyDescent="0.25">
      <c r="A1465" s="11">
        <v>45446</v>
      </c>
      <c r="B1465" s="82" t="s">
        <v>9</v>
      </c>
      <c r="C1465" s="8">
        <v>0.22222222222222221</v>
      </c>
      <c r="D1465" s="8">
        <v>0.64583333333333337</v>
      </c>
      <c r="E1465" s="9"/>
      <c r="F1465" s="14">
        <f t="shared" si="98"/>
        <v>10.166666666666668</v>
      </c>
      <c r="H1465" s="90">
        <f>SUM(F1465:G1471)</f>
        <v>45.416666666666664</v>
      </c>
    </row>
    <row r="1466" spans="1:8" x14ac:dyDescent="0.25">
      <c r="A1466" s="6">
        <v>45447</v>
      </c>
      <c r="B1466" s="83" t="s">
        <v>12</v>
      </c>
      <c r="C1466" s="8">
        <v>0.22222222222222221</v>
      </c>
      <c r="D1466" s="8">
        <v>0.64583333333333337</v>
      </c>
      <c r="E1466" s="9"/>
      <c r="F1466" s="14">
        <f t="shared" si="98"/>
        <v>10.166666666666668</v>
      </c>
      <c r="H1466" s="91"/>
    </row>
    <row r="1467" spans="1:8" x14ac:dyDescent="0.25">
      <c r="A1467" s="11">
        <v>45448</v>
      </c>
      <c r="B1467" s="82" t="s">
        <v>9</v>
      </c>
      <c r="C1467" s="8">
        <v>0.22222222222222221</v>
      </c>
      <c r="D1467" s="8">
        <v>0.64583333333333337</v>
      </c>
      <c r="E1467" s="9"/>
      <c r="F1467" s="14">
        <f t="shared" si="98"/>
        <v>10.166666666666668</v>
      </c>
      <c r="H1467" s="91"/>
    </row>
    <row r="1468" spans="1:8" x14ac:dyDescent="0.25">
      <c r="A1468" s="6">
        <v>45449</v>
      </c>
      <c r="B1468" s="82" t="s">
        <v>9</v>
      </c>
      <c r="C1468" s="8">
        <v>0.28125</v>
      </c>
      <c r="D1468" s="8">
        <v>0.64583333333333337</v>
      </c>
      <c r="E1468" s="9"/>
      <c r="F1468" s="14">
        <f t="shared" si="98"/>
        <v>8.75</v>
      </c>
      <c r="H1468" s="91"/>
    </row>
    <row r="1469" spans="1:8" x14ac:dyDescent="0.25">
      <c r="A1469" s="11">
        <v>45450</v>
      </c>
      <c r="B1469" s="82" t="s">
        <v>9</v>
      </c>
      <c r="C1469" s="8">
        <v>0.28472222222222221</v>
      </c>
      <c r="D1469" s="8">
        <v>0.54166666666666663</v>
      </c>
      <c r="E1469" s="9"/>
      <c r="F1469" s="14">
        <f t="shared" si="98"/>
        <v>6.1666666666666661</v>
      </c>
      <c r="H1469" s="91"/>
    </row>
    <row r="1470" spans="1:8" x14ac:dyDescent="0.25">
      <c r="A1470" s="6">
        <v>45451</v>
      </c>
      <c r="B1470" s="7"/>
      <c r="C1470" s="8"/>
      <c r="D1470" s="8"/>
      <c r="E1470" s="9"/>
      <c r="F1470" s="14" t="str">
        <f t="shared" si="98"/>
        <v/>
      </c>
      <c r="H1470" s="91"/>
    </row>
    <row r="1471" spans="1:8" x14ac:dyDescent="0.25">
      <c r="A1471" s="11">
        <v>45452</v>
      </c>
      <c r="B1471" s="7"/>
      <c r="C1471" s="8"/>
      <c r="D1471" s="8"/>
      <c r="E1471" s="9"/>
      <c r="F1471" s="14" t="str">
        <f t="shared" si="98"/>
        <v/>
      </c>
      <c r="H1471" s="92"/>
    </row>
    <row r="1472" spans="1:8" x14ac:dyDescent="0.25">
      <c r="A1472" s="6">
        <v>45453</v>
      </c>
      <c r="B1472" s="82" t="s">
        <v>9</v>
      </c>
      <c r="C1472" s="8">
        <v>0.22222222222222221</v>
      </c>
      <c r="D1472" s="8">
        <v>0.64583333333333337</v>
      </c>
      <c r="E1472" s="9"/>
      <c r="F1472" s="14">
        <f t="shared" si="98"/>
        <v>10.166666666666668</v>
      </c>
      <c r="H1472" s="90">
        <f>SUM(F1472:G1478)</f>
        <v>40.166666666666671</v>
      </c>
    </row>
    <row r="1473" spans="1:8" x14ac:dyDescent="0.25">
      <c r="A1473" s="11">
        <v>45454</v>
      </c>
      <c r="B1473" s="82" t="s">
        <v>9</v>
      </c>
      <c r="C1473" s="8">
        <v>0.22222222222222221</v>
      </c>
      <c r="D1473" s="8">
        <v>0.33333333333333331</v>
      </c>
      <c r="E1473" s="9"/>
      <c r="F1473" s="14">
        <f t="shared" si="98"/>
        <v>2.6666666666666665</v>
      </c>
      <c r="H1473" s="91"/>
    </row>
    <row r="1474" spans="1:8" x14ac:dyDescent="0.25">
      <c r="A1474" s="6">
        <v>45455</v>
      </c>
      <c r="B1474" s="82" t="s">
        <v>9</v>
      </c>
      <c r="C1474" s="8">
        <v>0.2361111111111111</v>
      </c>
      <c r="D1474" s="8">
        <v>0.64583333333333337</v>
      </c>
      <c r="E1474" s="9"/>
      <c r="F1474" s="14">
        <f t="shared" si="98"/>
        <v>9.8333333333333339</v>
      </c>
      <c r="H1474" s="91"/>
    </row>
    <row r="1475" spans="1:8" x14ac:dyDescent="0.25">
      <c r="A1475" s="11">
        <v>45456</v>
      </c>
      <c r="B1475" s="83" t="s">
        <v>12</v>
      </c>
      <c r="C1475" s="8">
        <v>0.22222222222222221</v>
      </c>
      <c r="D1475" s="8">
        <v>0.64583333333333337</v>
      </c>
      <c r="E1475" s="9"/>
      <c r="F1475" s="14">
        <f t="shared" si="98"/>
        <v>10.166666666666668</v>
      </c>
      <c r="H1475" s="91"/>
    </row>
    <row r="1476" spans="1:8" x14ac:dyDescent="0.25">
      <c r="A1476" s="6">
        <v>45457</v>
      </c>
      <c r="B1476" s="82" t="s">
        <v>9</v>
      </c>
      <c r="C1476" s="8">
        <v>0.2361111111111111</v>
      </c>
      <c r="D1476" s="8">
        <v>0.54166666666666663</v>
      </c>
      <c r="E1476" s="9"/>
      <c r="F1476" s="14">
        <f t="shared" si="98"/>
        <v>7.3333333333333321</v>
      </c>
      <c r="H1476" s="91"/>
    </row>
    <row r="1477" spans="1:8" x14ac:dyDescent="0.25">
      <c r="A1477" s="11">
        <v>45458</v>
      </c>
      <c r="B1477" s="7"/>
      <c r="C1477" s="8"/>
      <c r="D1477" s="8"/>
      <c r="E1477" s="9"/>
      <c r="F1477" s="14" t="str">
        <f t="shared" si="98"/>
        <v/>
      </c>
      <c r="H1477" s="91"/>
    </row>
    <row r="1478" spans="1:8" x14ac:dyDescent="0.25">
      <c r="A1478" s="6">
        <v>45459</v>
      </c>
      <c r="B1478" s="7"/>
      <c r="C1478" s="8"/>
      <c r="D1478" s="8"/>
      <c r="E1478" s="9"/>
      <c r="F1478" s="14" t="str">
        <f t="shared" si="98"/>
        <v/>
      </c>
      <c r="H1478" s="92"/>
    </row>
    <row r="1479" spans="1:8" x14ac:dyDescent="0.25">
      <c r="A1479" s="11">
        <v>45460</v>
      </c>
      <c r="B1479" s="83" t="s">
        <v>12</v>
      </c>
      <c r="C1479" s="8">
        <v>0.23611111111111113</v>
      </c>
      <c r="D1479" s="8">
        <v>0.64583333333333337</v>
      </c>
      <c r="E1479" s="9"/>
      <c r="F1479" s="14">
        <f t="shared" si="98"/>
        <v>9.8333333333333321</v>
      </c>
      <c r="H1479" s="90">
        <f>SUM(F1479:G1485)</f>
        <v>45.499999999999993</v>
      </c>
    </row>
    <row r="1480" spans="1:8" x14ac:dyDescent="0.25">
      <c r="A1480" s="6">
        <v>45461</v>
      </c>
      <c r="B1480" s="83" t="s">
        <v>12</v>
      </c>
      <c r="C1480" s="8">
        <v>0.23611111111111113</v>
      </c>
      <c r="D1480" s="8">
        <v>0.6875</v>
      </c>
      <c r="E1480" s="9"/>
      <c r="F1480" s="14">
        <f t="shared" si="98"/>
        <v>10.833333333333332</v>
      </c>
      <c r="H1480" s="91"/>
    </row>
    <row r="1481" spans="1:8" x14ac:dyDescent="0.25">
      <c r="A1481" s="11">
        <v>45462</v>
      </c>
      <c r="B1481" s="82" t="s">
        <v>9</v>
      </c>
      <c r="C1481" s="8">
        <v>0.22916666666666666</v>
      </c>
      <c r="D1481" s="8">
        <v>0.64583333333333337</v>
      </c>
      <c r="E1481" s="9"/>
      <c r="F1481" s="14">
        <f t="shared" si="98"/>
        <v>10.000000000000002</v>
      </c>
      <c r="H1481" s="91"/>
    </row>
    <row r="1482" spans="1:8" x14ac:dyDescent="0.25">
      <c r="A1482" s="6">
        <v>45463</v>
      </c>
      <c r="B1482" s="83" t="s">
        <v>12</v>
      </c>
      <c r="C1482" s="8">
        <v>0.28472222222222221</v>
      </c>
      <c r="D1482" s="8">
        <v>0.64583333333333337</v>
      </c>
      <c r="E1482" s="9"/>
      <c r="F1482" s="14">
        <f t="shared" si="98"/>
        <v>8.6666666666666679</v>
      </c>
      <c r="H1482" s="91"/>
    </row>
    <row r="1483" spans="1:8" x14ac:dyDescent="0.25">
      <c r="A1483" s="11">
        <v>45464</v>
      </c>
      <c r="B1483" s="82" t="s">
        <v>9</v>
      </c>
      <c r="C1483" s="8">
        <v>0.28472222222222221</v>
      </c>
      <c r="D1483" s="8">
        <v>0.54166666666666663</v>
      </c>
      <c r="E1483" s="9"/>
      <c r="F1483" s="14">
        <f t="shared" si="98"/>
        <v>6.1666666666666661</v>
      </c>
      <c r="H1483" s="91"/>
    </row>
    <row r="1484" spans="1:8" x14ac:dyDescent="0.25">
      <c r="A1484" s="6">
        <v>45465</v>
      </c>
      <c r="B1484" s="7"/>
      <c r="C1484" s="8"/>
      <c r="D1484" s="8"/>
      <c r="E1484" s="9"/>
      <c r="F1484" s="14" t="str">
        <f t="shared" si="98"/>
        <v/>
      </c>
      <c r="H1484" s="91"/>
    </row>
    <row r="1485" spans="1:8" x14ac:dyDescent="0.25">
      <c r="A1485" s="11">
        <v>45466</v>
      </c>
      <c r="B1485" s="7"/>
      <c r="C1485" s="8"/>
      <c r="D1485" s="8"/>
      <c r="E1485" s="9"/>
      <c r="F1485" s="14" t="str">
        <f t="shared" si="98"/>
        <v/>
      </c>
      <c r="H1485" s="92"/>
    </row>
    <row r="1486" spans="1:8" x14ac:dyDescent="0.25">
      <c r="A1486" s="6">
        <v>45467</v>
      </c>
      <c r="B1486" s="35" t="s">
        <v>8</v>
      </c>
      <c r="C1486" s="8"/>
      <c r="D1486" s="8"/>
      <c r="E1486" s="9"/>
      <c r="F1486" s="14" t="str">
        <f t="shared" si="98"/>
        <v/>
      </c>
      <c r="H1486" s="90">
        <f>SUM(F1486:G1492)</f>
        <v>37.666666666666671</v>
      </c>
    </row>
    <row r="1487" spans="1:8" x14ac:dyDescent="0.25">
      <c r="A1487" s="11">
        <v>45468</v>
      </c>
      <c r="B1487" s="82" t="s">
        <v>9</v>
      </c>
      <c r="C1487" s="8">
        <v>0.22222222222222221</v>
      </c>
      <c r="D1487" s="8">
        <v>0.6875</v>
      </c>
      <c r="E1487" s="9"/>
      <c r="F1487" s="14">
        <f t="shared" si="98"/>
        <v>11.166666666666668</v>
      </c>
      <c r="H1487" s="91"/>
    </row>
    <row r="1488" spans="1:8" x14ac:dyDescent="0.25">
      <c r="A1488" s="6">
        <v>45469</v>
      </c>
      <c r="B1488" s="82" t="s">
        <v>9</v>
      </c>
      <c r="C1488" s="8">
        <v>0.28472222222222221</v>
      </c>
      <c r="D1488" s="8">
        <v>0.64583333333333337</v>
      </c>
      <c r="E1488" s="9"/>
      <c r="F1488" s="14">
        <f t="shared" si="98"/>
        <v>8.6666666666666679</v>
      </c>
      <c r="H1488" s="91"/>
    </row>
    <row r="1489" spans="1:8" x14ac:dyDescent="0.25">
      <c r="A1489" s="11">
        <v>45470</v>
      </c>
      <c r="B1489" s="82" t="s">
        <v>9</v>
      </c>
      <c r="C1489" s="8">
        <v>0.21527777777777779</v>
      </c>
      <c r="D1489" s="8">
        <v>0.64583333333333337</v>
      </c>
      <c r="E1489" s="9"/>
      <c r="F1489" s="14">
        <f t="shared" si="98"/>
        <v>10.333333333333334</v>
      </c>
      <c r="H1489" s="91"/>
    </row>
    <row r="1490" spans="1:8" x14ac:dyDescent="0.25">
      <c r="A1490" s="6">
        <v>45471</v>
      </c>
      <c r="B1490" s="82" t="s">
        <v>9</v>
      </c>
      <c r="C1490" s="8">
        <v>0.22916666666666666</v>
      </c>
      <c r="D1490" s="8">
        <v>0.54166666666666663</v>
      </c>
      <c r="E1490" s="9"/>
      <c r="F1490" s="14">
        <f t="shared" si="98"/>
        <v>7.5</v>
      </c>
      <c r="H1490" s="91"/>
    </row>
    <row r="1491" spans="1:8" x14ac:dyDescent="0.25">
      <c r="A1491" s="11">
        <v>45472</v>
      </c>
      <c r="B1491" s="7"/>
      <c r="C1491" s="8"/>
      <c r="D1491" s="8"/>
      <c r="E1491" s="9"/>
      <c r="F1491" s="14" t="str">
        <f t="shared" si="98"/>
        <v/>
      </c>
      <c r="H1491" s="91"/>
    </row>
    <row r="1492" spans="1:8" x14ac:dyDescent="0.25">
      <c r="A1492" s="53">
        <v>45473</v>
      </c>
      <c r="B1492" s="54"/>
      <c r="C1492" s="55"/>
      <c r="D1492" s="55"/>
      <c r="E1492" s="64"/>
      <c r="F1492" s="84" t="str">
        <f t="shared" si="98"/>
        <v/>
      </c>
      <c r="G1492" s="56"/>
      <c r="H1492" s="92"/>
    </row>
    <row r="1493" spans="1:8" x14ac:dyDescent="0.25">
      <c r="A1493" s="11">
        <v>45474</v>
      </c>
      <c r="B1493" s="82" t="s">
        <v>9</v>
      </c>
      <c r="C1493" s="85">
        <v>0.22222222222222221</v>
      </c>
      <c r="D1493" s="85">
        <v>0.64583333333333337</v>
      </c>
      <c r="E1493" s="9"/>
      <c r="F1493" s="14">
        <f t="shared" si="98"/>
        <v>10.166666666666668</v>
      </c>
      <c r="H1493" s="90">
        <f>SUM(F1493:G1499)</f>
        <v>44.75</v>
      </c>
    </row>
    <row r="1494" spans="1:8" x14ac:dyDescent="0.25">
      <c r="A1494" s="6">
        <v>45475</v>
      </c>
      <c r="B1494" s="82" t="s">
        <v>9</v>
      </c>
      <c r="C1494" s="85">
        <v>0.21875</v>
      </c>
      <c r="D1494" s="85">
        <v>0.64583333333333337</v>
      </c>
      <c r="E1494" s="9"/>
      <c r="F1494" s="14">
        <f t="shared" si="98"/>
        <v>10.25</v>
      </c>
      <c r="H1494" s="91"/>
    </row>
    <row r="1495" spans="1:8" x14ac:dyDescent="0.25">
      <c r="A1495" s="11">
        <v>45476</v>
      </c>
      <c r="B1495" s="82" t="s">
        <v>9</v>
      </c>
      <c r="C1495" s="85">
        <v>0.24305555555555555</v>
      </c>
      <c r="D1495" s="85">
        <v>0.64583333333333337</v>
      </c>
      <c r="E1495" s="9"/>
      <c r="F1495" s="14">
        <f t="shared" si="98"/>
        <v>9.6666666666666679</v>
      </c>
      <c r="H1495" s="91"/>
    </row>
    <row r="1496" spans="1:8" x14ac:dyDescent="0.25">
      <c r="A1496" s="6">
        <v>45477</v>
      </c>
      <c r="B1496" s="83" t="s">
        <v>12</v>
      </c>
      <c r="C1496" s="85">
        <v>0.27083333333333331</v>
      </c>
      <c r="D1496" s="85">
        <v>0.625</v>
      </c>
      <c r="E1496" s="9"/>
      <c r="F1496" s="14">
        <f t="shared" si="98"/>
        <v>8.5</v>
      </c>
      <c r="H1496" s="91"/>
    </row>
    <row r="1497" spans="1:8" x14ac:dyDescent="0.25">
      <c r="A1497" s="11">
        <v>45478</v>
      </c>
      <c r="B1497" s="82" t="s">
        <v>9</v>
      </c>
      <c r="C1497" s="85">
        <v>0.28472222222222221</v>
      </c>
      <c r="D1497" s="85">
        <v>0.54166666666666663</v>
      </c>
      <c r="E1497" s="9"/>
      <c r="F1497" s="14">
        <f t="shared" si="98"/>
        <v>6.1666666666666661</v>
      </c>
      <c r="H1497" s="91"/>
    </row>
    <row r="1498" spans="1:8" x14ac:dyDescent="0.25">
      <c r="A1498" s="6">
        <v>45479</v>
      </c>
      <c r="B1498" s="86"/>
      <c r="C1498" s="85"/>
      <c r="D1498" s="85"/>
      <c r="E1498" s="9"/>
      <c r="F1498" s="14" t="str">
        <f t="shared" si="98"/>
        <v/>
      </c>
      <c r="H1498" s="91"/>
    </row>
    <row r="1499" spans="1:8" x14ac:dyDescent="0.25">
      <c r="A1499" s="11">
        <v>45480</v>
      </c>
      <c r="B1499" s="87"/>
      <c r="C1499" s="85"/>
      <c r="D1499" s="85"/>
      <c r="E1499" s="9"/>
      <c r="F1499" s="14" t="str">
        <f t="shared" si="98"/>
        <v/>
      </c>
      <c r="H1499" s="92"/>
    </row>
    <row r="1500" spans="1:8" x14ac:dyDescent="0.25">
      <c r="A1500" s="6">
        <v>45481</v>
      </c>
      <c r="B1500" s="83" t="s">
        <v>12</v>
      </c>
      <c r="C1500" s="85">
        <v>0.25</v>
      </c>
      <c r="D1500" s="85">
        <v>0.64583333333333337</v>
      </c>
      <c r="E1500" s="13">
        <v>0.5</v>
      </c>
      <c r="F1500" s="14">
        <f t="shared" ref="F1500:F1563" si="99">IF(C1500="", "", IF(D1500="", "", (D1500-C1500)*24 - E1500))</f>
        <v>9</v>
      </c>
      <c r="H1500" s="90">
        <f>SUM(F1500:G1506)</f>
        <v>70.166666666666671</v>
      </c>
    </row>
    <row r="1501" spans="1:8" x14ac:dyDescent="0.25">
      <c r="A1501" s="11">
        <v>45482</v>
      </c>
      <c r="B1501" s="83" t="s">
        <v>12</v>
      </c>
      <c r="C1501" s="85">
        <v>0.25</v>
      </c>
      <c r="D1501" s="85">
        <v>0.64583333333333337</v>
      </c>
      <c r="E1501" s="13">
        <v>0.5</v>
      </c>
      <c r="F1501" s="14">
        <f t="shared" si="99"/>
        <v>9</v>
      </c>
      <c r="H1501" s="91"/>
    </row>
    <row r="1502" spans="1:8" x14ac:dyDescent="0.25">
      <c r="A1502" s="6">
        <v>45483</v>
      </c>
      <c r="B1502" s="82" t="s">
        <v>9</v>
      </c>
      <c r="C1502" s="85">
        <v>0.25</v>
      </c>
      <c r="D1502" s="85">
        <v>0.64583333333333337</v>
      </c>
      <c r="E1502" s="13">
        <v>0.5</v>
      </c>
      <c r="F1502" s="14">
        <f t="shared" si="99"/>
        <v>9</v>
      </c>
      <c r="G1502">
        <v>1.5</v>
      </c>
      <c r="H1502" s="91"/>
    </row>
    <row r="1503" spans="1:8" x14ac:dyDescent="0.25">
      <c r="A1503" s="11">
        <v>45484</v>
      </c>
      <c r="B1503" s="82" t="s">
        <v>9</v>
      </c>
      <c r="C1503" s="85">
        <v>0.28472222222222221</v>
      </c>
      <c r="D1503" s="85">
        <v>0.64583333333333337</v>
      </c>
      <c r="E1503" s="13">
        <v>0.5</v>
      </c>
      <c r="F1503" s="14">
        <f t="shared" si="99"/>
        <v>8.1666666666666679</v>
      </c>
      <c r="G1503">
        <v>4</v>
      </c>
      <c r="H1503" s="91"/>
    </row>
    <row r="1504" spans="1:8" x14ac:dyDescent="0.25">
      <c r="A1504" s="6">
        <v>45485</v>
      </c>
      <c r="B1504" s="82" t="s">
        <v>9</v>
      </c>
      <c r="C1504" s="85">
        <v>0.28472222222222221</v>
      </c>
      <c r="D1504" s="85">
        <v>0.54166666666666663</v>
      </c>
      <c r="E1504" s="13">
        <v>0.5</v>
      </c>
      <c r="F1504" s="14">
        <f t="shared" si="99"/>
        <v>5.6666666666666661</v>
      </c>
      <c r="G1504">
        <v>2.5</v>
      </c>
      <c r="H1504" s="91"/>
    </row>
    <row r="1505" spans="1:8" x14ac:dyDescent="0.25">
      <c r="A1505" s="11">
        <v>45486</v>
      </c>
      <c r="B1505" s="7" t="s">
        <v>15</v>
      </c>
      <c r="C1505" s="85">
        <v>0.28472222222222221</v>
      </c>
      <c r="D1505" s="85">
        <v>0.64583333333333337</v>
      </c>
      <c r="E1505" s="13">
        <v>0.5</v>
      </c>
      <c r="F1505" s="14">
        <f t="shared" si="99"/>
        <v>8.1666666666666679</v>
      </c>
      <c r="G1505">
        <v>3</v>
      </c>
      <c r="H1505" s="91"/>
    </row>
    <row r="1506" spans="1:8" x14ac:dyDescent="0.25">
      <c r="A1506" s="6">
        <v>45487</v>
      </c>
      <c r="B1506" s="35" t="s">
        <v>15</v>
      </c>
      <c r="C1506" s="85">
        <v>0.28472222222222221</v>
      </c>
      <c r="D1506" s="85">
        <v>0.64583333333333337</v>
      </c>
      <c r="E1506" s="13">
        <v>0.5</v>
      </c>
      <c r="F1506" s="14">
        <f t="shared" si="99"/>
        <v>8.1666666666666679</v>
      </c>
      <c r="G1506">
        <v>2</v>
      </c>
      <c r="H1506" s="92"/>
    </row>
    <row r="1507" spans="1:8" x14ac:dyDescent="0.25">
      <c r="A1507" s="11">
        <v>45488</v>
      </c>
      <c r="B1507" s="87" t="s">
        <v>14</v>
      </c>
      <c r="C1507" s="85"/>
      <c r="D1507" s="85"/>
      <c r="E1507" s="9"/>
      <c r="F1507" s="14" t="str">
        <f t="shared" si="99"/>
        <v/>
      </c>
      <c r="G1507">
        <v>2.5</v>
      </c>
      <c r="H1507" s="90">
        <f>SUM(F1507:G1513)</f>
        <v>78.333333333333343</v>
      </c>
    </row>
    <row r="1508" spans="1:8" x14ac:dyDescent="0.25">
      <c r="A1508" s="6">
        <v>45489</v>
      </c>
      <c r="B1508" s="82" t="s">
        <v>9</v>
      </c>
      <c r="C1508" s="85">
        <v>0.25</v>
      </c>
      <c r="D1508" s="85">
        <v>0.66666666666666663</v>
      </c>
      <c r="E1508" s="13">
        <v>0.5</v>
      </c>
      <c r="F1508" s="14">
        <f t="shared" si="99"/>
        <v>9.5</v>
      </c>
      <c r="G1508">
        <v>2</v>
      </c>
      <c r="H1508" s="91"/>
    </row>
    <row r="1509" spans="1:8" x14ac:dyDescent="0.25">
      <c r="A1509" s="11">
        <v>45490</v>
      </c>
      <c r="B1509" s="83" t="s">
        <v>12</v>
      </c>
      <c r="C1509" s="85">
        <v>0.29166666666666669</v>
      </c>
      <c r="D1509" s="85">
        <v>0.73611111111111116</v>
      </c>
      <c r="E1509" s="13">
        <v>0.5</v>
      </c>
      <c r="F1509" s="14">
        <f t="shared" si="99"/>
        <v>10.166666666666668</v>
      </c>
      <c r="G1509">
        <v>1</v>
      </c>
      <c r="H1509" s="91"/>
    </row>
    <row r="1510" spans="1:8" x14ac:dyDescent="0.25">
      <c r="A1510" s="6">
        <v>45491</v>
      </c>
      <c r="B1510" s="82" t="s">
        <v>9</v>
      </c>
      <c r="C1510" s="85">
        <v>0.28472222222222221</v>
      </c>
      <c r="D1510" s="85">
        <v>0.64583333333333337</v>
      </c>
      <c r="E1510" s="13">
        <v>0.5</v>
      </c>
      <c r="F1510" s="14">
        <f t="shared" si="99"/>
        <v>8.1666666666666679</v>
      </c>
      <c r="G1510">
        <v>1</v>
      </c>
      <c r="H1510" s="91"/>
    </row>
    <row r="1511" spans="1:8" x14ac:dyDescent="0.25">
      <c r="A1511" s="11">
        <v>45492</v>
      </c>
      <c r="B1511" s="82" t="s">
        <v>9</v>
      </c>
      <c r="C1511" s="85">
        <v>0.28472222222222221</v>
      </c>
      <c r="D1511" s="85">
        <v>0.54166666666666663</v>
      </c>
      <c r="E1511" s="13">
        <v>0.5</v>
      </c>
      <c r="F1511" s="14">
        <f t="shared" si="99"/>
        <v>5.6666666666666661</v>
      </c>
      <c r="G1511">
        <v>6</v>
      </c>
      <c r="H1511" s="91"/>
    </row>
    <row r="1512" spans="1:8" x14ac:dyDescent="0.25">
      <c r="A1512" s="6">
        <v>45493</v>
      </c>
      <c r="B1512" s="7" t="s">
        <v>15</v>
      </c>
      <c r="C1512" s="85">
        <v>0.28472222222222221</v>
      </c>
      <c r="D1512" s="85">
        <v>0.64583333333333337</v>
      </c>
      <c r="E1512" s="13">
        <v>0.5</v>
      </c>
      <c r="F1512" s="14">
        <f t="shared" si="99"/>
        <v>8.1666666666666679</v>
      </c>
      <c r="G1512">
        <v>9</v>
      </c>
      <c r="H1512" s="91"/>
    </row>
    <row r="1513" spans="1:8" x14ac:dyDescent="0.25">
      <c r="A1513" s="11">
        <v>45494</v>
      </c>
      <c r="B1513" s="35" t="s">
        <v>15</v>
      </c>
      <c r="C1513" s="85">
        <v>0.28472222222222221</v>
      </c>
      <c r="D1513" s="85">
        <v>0.64583333333333337</v>
      </c>
      <c r="E1513" s="13">
        <v>0.5</v>
      </c>
      <c r="F1513" s="14">
        <f t="shared" si="99"/>
        <v>8.1666666666666679</v>
      </c>
      <c r="G1513">
        <v>7</v>
      </c>
      <c r="H1513" s="92"/>
    </row>
    <row r="1514" spans="1:8" x14ac:dyDescent="0.25">
      <c r="A1514" s="6">
        <v>45495</v>
      </c>
      <c r="B1514" s="83" t="s">
        <v>12</v>
      </c>
      <c r="C1514" s="85">
        <v>0.25</v>
      </c>
      <c r="D1514" s="85">
        <v>0.64583333333333337</v>
      </c>
      <c r="E1514" s="13">
        <v>0.5</v>
      </c>
      <c r="F1514" s="14">
        <f t="shared" si="99"/>
        <v>9</v>
      </c>
      <c r="H1514" s="90">
        <f>SUM(F1514:G1520)</f>
        <v>40.833333333333336</v>
      </c>
    </row>
    <row r="1515" spans="1:8" x14ac:dyDescent="0.25">
      <c r="A1515" s="11">
        <v>45496</v>
      </c>
      <c r="B1515" s="82" t="s">
        <v>9</v>
      </c>
      <c r="C1515" s="85">
        <v>0.28472222222222221</v>
      </c>
      <c r="D1515" s="85">
        <v>0.64583333333333337</v>
      </c>
      <c r="E1515" s="13">
        <v>0.5</v>
      </c>
      <c r="F1515" s="14">
        <f t="shared" si="99"/>
        <v>8.1666666666666679</v>
      </c>
      <c r="H1515" s="91"/>
    </row>
    <row r="1516" spans="1:8" x14ac:dyDescent="0.25">
      <c r="A1516" s="6">
        <v>45497</v>
      </c>
      <c r="B1516" s="82" t="s">
        <v>9</v>
      </c>
      <c r="C1516" s="85">
        <v>0.25</v>
      </c>
      <c r="D1516" s="85">
        <v>0.64583333333333337</v>
      </c>
      <c r="E1516" s="13">
        <v>0.5</v>
      </c>
      <c r="F1516" s="14">
        <f t="shared" si="99"/>
        <v>9</v>
      </c>
      <c r="H1516" s="91"/>
    </row>
    <row r="1517" spans="1:8" x14ac:dyDescent="0.25">
      <c r="A1517" s="11">
        <v>45498</v>
      </c>
      <c r="B1517" s="83" t="s">
        <v>12</v>
      </c>
      <c r="C1517" s="85">
        <v>0.25</v>
      </c>
      <c r="D1517" s="85">
        <v>0.64583333333333337</v>
      </c>
      <c r="E1517" s="13">
        <v>0.5</v>
      </c>
      <c r="F1517" s="14">
        <f t="shared" si="99"/>
        <v>9</v>
      </c>
      <c r="H1517" s="91"/>
    </row>
    <row r="1518" spans="1:8" x14ac:dyDescent="0.25">
      <c r="A1518" s="6">
        <v>45499</v>
      </c>
      <c r="B1518" s="82" t="s">
        <v>9</v>
      </c>
      <c r="C1518" s="85">
        <v>0.28472222222222221</v>
      </c>
      <c r="D1518" s="85">
        <v>0.54166666666666663</v>
      </c>
      <c r="E1518" s="13">
        <v>0.5</v>
      </c>
      <c r="F1518" s="14">
        <f t="shared" si="99"/>
        <v>5.6666666666666661</v>
      </c>
      <c r="H1518" s="91"/>
    </row>
    <row r="1519" spans="1:8" x14ac:dyDescent="0.25">
      <c r="A1519" s="11">
        <v>45500</v>
      </c>
      <c r="B1519" s="87"/>
      <c r="C1519" s="85"/>
      <c r="D1519" s="85"/>
      <c r="E1519" s="13"/>
      <c r="F1519" s="14" t="str">
        <f t="shared" si="99"/>
        <v/>
      </c>
      <c r="H1519" s="91"/>
    </row>
    <row r="1520" spans="1:8" x14ac:dyDescent="0.25">
      <c r="A1520" s="6">
        <v>45501</v>
      </c>
      <c r="B1520" s="87"/>
      <c r="C1520" s="85"/>
      <c r="D1520" s="85"/>
      <c r="E1520" s="13"/>
      <c r="F1520" s="14" t="str">
        <f t="shared" si="99"/>
        <v/>
      </c>
      <c r="H1520" s="92"/>
    </row>
    <row r="1521" spans="1:8" x14ac:dyDescent="0.25">
      <c r="A1521" s="11">
        <v>45502</v>
      </c>
      <c r="B1521" s="87" t="s">
        <v>14</v>
      </c>
      <c r="C1521" s="85"/>
      <c r="D1521" s="85"/>
      <c r="E1521" s="13"/>
      <c r="F1521" s="14" t="str">
        <f t="shared" si="99"/>
        <v/>
      </c>
      <c r="H1521" s="90">
        <f>SUM(F1521:G1527)</f>
        <v>0</v>
      </c>
    </row>
    <row r="1522" spans="1:8" x14ac:dyDescent="0.25">
      <c r="A1522" s="6">
        <v>45503</v>
      </c>
      <c r="B1522" s="87" t="s">
        <v>8</v>
      </c>
      <c r="C1522" s="85"/>
      <c r="D1522" s="85"/>
      <c r="E1522" s="13"/>
      <c r="F1522" s="14" t="str">
        <f t="shared" si="99"/>
        <v/>
      </c>
      <c r="H1522" s="91"/>
    </row>
    <row r="1523" spans="1:8" x14ac:dyDescent="0.25">
      <c r="A1523" s="11">
        <v>45504</v>
      </c>
      <c r="B1523" s="87" t="s">
        <v>8</v>
      </c>
      <c r="C1523" s="85"/>
      <c r="D1523" s="85"/>
      <c r="E1523" s="13"/>
      <c r="F1523" s="14" t="str">
        <f t="shared" si="99"/>
        <v/>
      </c>
      <c r="H1523" s="91"/>
    </row>
    <row r="1524" spans="1:8" x14ac:dyDescent="0.25">
      <c r="A1524" s="6">
        <v>45505</v>
      </c>
      <c r="B1524" s="87" t="s">
        <v>8</v>
      </c>
      <c r="C1524" s="85"/>
      <c r="D1524" s="85"/>
      <c r="E1524" s="13"/>
      <c r="F1524" s="14" t="str">
        <f t="shared" si="99"/>
        <v/>
      </c>
      <c r="H1524" s="91"/>
    </row>
    <row r="1525" spans="1:8" x14ac:dyDescent="0.25">
      <c r="A1525" s="11">
        <v>45506</v>
      </c>
      <c r="B1525" s="87" t="s">
        <v>8</v>
      </c>
      <c r="C1525" s="85"/>
      <c r="D1525" s="85"/>
      <c r="E1525" s="13"/>
      <c r="F1525" s="14" t="str">
        <f t="shared" si="99"/>
        <v/>
      </c>
      <c r="H1525" s="91"/>
    </row>
    <row r="1526" spans="1:8" x14ac:dyDescent="0.25">
      <c r="A1526" s="6">
        <v>45507</v>
      </c>
      <c r="B1526" s="87"/>
      <c r="C1526" s="85"/>
      <c r="D1526" s="85"/>
      <c r="E1526" s="13"/>
      <c r="F1526" s="14" t="str">
        <f t="shared" si="99"/>
        <v/>
      </c>
      <c r="H1526" s="91"/>
    </row>
    <row r="1527" spans="1:8" x14ac:dyDescent="0.25">
      <c r="A1527" s="11">
        <v>45508</v>
      </c>
      <c r="B1527" s="87"/>
      <c r="C1527" s="85"/>
      <c r="D1527" s="85"/>
      <c r="E1527" s="13"/>
      <c r="F1527" s="14" t="str">
        <f t="shared" si="99"/>
        <v/>
      </c>
      <c r="H1527" s="92"/>
    </row>
    <row r="1528" spans="1:8" x14ac:dyDescent="0.25">
      <c r="A1528" s="6">
        <v>45509</v>
      </c>
      <c r="B1528" s="87" t="s">
        <v>8</v>
      </c>
      <c r="C1528" s="85"/>
      <c r="D1528" s="85"/>
      <c r="E1528" s="13"/>
      <c r="F1528" s="14" t="str">
        <f t="shared" si="99"/>
        <v/>
      </c>
      <c r="H1528" s="90">
        <f>SUM(F1528:G1534)</f>
        <v>0</v>
      </c>
    </row>
    <row r="1529" spans="1:8" x14ac:dyDescent="0.25">
      <c r="A1529" s="11">
        <v>45510</v>
      </c>
      <c r="B1529" s="87" t="s">
        <v>8</v>
      </c>
      <c r="C1529" s="85"/>
      <c r="D1529" s="85"/>
      <c r="E1529" s="13"/>
      <c r="F1529" s="14" t="str">
        <f t="shared" si="99"/>
        <v/>
      </c>
      <c r="H1529" s="91"/>
    </row>
    <row r="1530" spans="1:8" x14ac:dyDescent="0.25">
      <c r="A1530" s="6">
        <v>45511</v>
      </c>
      <c r="B1530" s="87" t="s">
        <v>8</v>
      </c>
      <c r="C1530" s="85"/>
      <c r="D1530" s="85"/>
      <c r="E1530" s="13"/>
      <c r="F1530" s="14" t="str">
        <f t="shared" si="99"/>
        <v/>
      </c>
      <c r="H1530" s="91"/>
    </row>
    <row r="1531" spans="1:8" x14ac:dyDescent="0.25">
      <c r="A1531" s="11">
        <v>45512</v>
      </c>
      <c r="B1531" s="87" t="s">
        <v>8</v>
      </c>
      <c r="C1531" s="85"/>
      <c r="D1531" s="85"/>
      <c r="E1531" s="13"/>
      <c r="F1531" s="14" t="str">
        <f t="shared" si="99"/>
        <v/>
      </c>
      <c r="H1531" s="91"/>
    </row>
    <row r="1532" spans="1:8" x14ac:dyDescent="0.25">
      <c r="A1532" s="6">
        <v>45513</v>
      </c>
      <c r="B1532" s="87" t="s">
        <v>8</v>
      </c>
      <c r="C1532" s="85"/>
      <c r="D1532" s="85"/>
      <c r="E1532" s="13"/>
      <c r="F1532" s="14" t="str">
        <f t="shared" si="99"/>
        <v/>
      </c>
      <c r="H1532" s="91"/>
    </row>
    <row r="1533" spans="1:8" x14ac:dyDescent="0.25">
      <c r="A1533" s="11">
        <v>45514</v>
      </c>
      <c r="B1533" s="87"/>
      <c r="C1533" s="85"/>
      <c r="D1533" s="85"/>
      <c r="E1533" s="13"/>
      <c r="F1533" s="14" t="str">
        <f t="shared" si="99"/>
        <v/>
      </c>
      <c r="H1533" s="91"/>
    </row>
    <row r="1534" spans="1:8" x14ac:dyDescent="0.25">
      <c r="A1534" s="6">
        <v>45515</v>
      </c>
      <c r="B1534" s="87"/>
      <c r="C1534" s="85"/>
      <c r="D1534" s="85"/>
      <c r="E1534" s="13"/>
      <c r="F1534" s="14" t="str">
        <f t="shared" si="99"/>
        <v/>
      </c>
      <c r="H1534" s="92"/>
    </row>
    <row r="1535" spans="1:8" x14ac:dyDescent="0.25">
      <c r="A1535" s="11">
        <v>45516</v>
      </c>
      <c r="B1535" s="87" t="s">
        <v>8</v>
      </c>
      <c r="C1535" s="85"/>
      <c r="D1535" s="85"/>
      <c r="E1535" s="13"/>
      <c r="F1535" s="14" t="str">
        <f t="shared" si="99"/>
        <v/>
      </c>
      <c r="H1535" s="90">
        <f>SUM(F1535:G1541)</f>
        <v>0</v>
      </c>
    </row>
    <row r="1536" spans="1:8" x14ac:dyDescent="0.25">
      <c r="A1536" s="6">
        <v>45517</v>
      </c>
      <c r="B1536" s="87" t="s">
        <v>8</v>
      </c>
      <c r="C1536" s="85"/>
      <c r="D1536" s="85"/>
      <c r="E1536" s="13"/>
      <c r="F1536" s="14" t="str">
        <f t="shared" si="99"/>
        <v/>
      </c>
      <c r="H1536" s="91"/>
    </row>
    <row r="1537" spans="1:8" x14ac:dyDescent="0.25">
      <c r="A1537" s="11">
        <v>45518</v>
      </c>
      <c r="B1537" s="87" t="s">
        <v>8</v>
      </c>
      <c r="C1537" s="85"/>
      <c r="D1537" s="85"/>
      <c r="E1537" s="13"/>
      <c r="F1537" s="14" t="str">
        <f t="shared" si="99"/>
        <v/>
      </c>
      <c r="H1537" s="91"/>
    </row>
    <row r="1538" spans="1:8" x14ac:dyDescent="0.25">
      <c r="A1538" s="6">
        <v>45519</v>
      </c>
      <c r="B1538" s="87" t="s">
        <v>8</v>
      </c>
      <c r="C1538" s="85"/>
      <c r="D1538" s="85"/>
      <c r="E1538" s="13"/>
      <c r="F1538" s="14" t="str">
        <f t="shared" si="99"/>
        <v/>
      </c>
      <c r="H1538" s="91"/>
    </row>
    <row r="1539" spans="1:8" x14ac:dyDescent="0.25">
      <c r="A1539" s="11">
        <v>45520</v>
      </c>
      <c r="B1539" s="87" t="s">
        <v>8</v>
      </c>
      <c r="C1539" s="85"/>
      <c r="D1539" s="85"/>
      <c r="E1539" s="13"/>
      <c r="F1539" s="14" t="str">
        <f t="shared" si="99"/>
        <v/>
      </c>
      <c r="H1539" s="91"/>
    </row>
    <row r="1540" spans="1:8" x14ac:dyDescent="0.25">
      <c r="A1540" s="6">
        <v>45521</v>
      </c>
      <c r="B1540" s="87"/>
      <c r="C1540" s="85"/>
      <c r="D1540" s="85"/>
      <c r="E1540" s="13"/>
      <c r="F1540" s="14" t="str">
        <f t="shared" si="99"/>
        <v/>
      </c>
      <c r="H1540" s="91"/>
    </row>
    <row r="1541" spans="1:8" x14ac:dyDescent="0.25">
      <c r="A1541" s="11">
        <v>45522</v>
      </c>
      <c r="B1541" s="87"/>
      <c r="C1541" s="85"/>
      <c r="D1541" s="85"/>
      <c r="E1541" s="13"/>
      <c r="F1541" s="14" t="str">
        <f t="shared" si="99"/>
        <v/>
      </c>
      <c r="H1541" s="92"/>
    </row>
    <row r="1542" spans="1:8" x14ac:dyDescent="0.25">
      <c r="A1542" s="6">
        <v>45523</v>
      </c>
      <c r="B1542" s="82" t="s">
        <v>9</v>
      </c>
      <c r="C1542" s="85">
        <v>0.25</v>
      </c>
      <c r="D1542" s="85">
        <v>0.66666666666666663</v>
      </c>
      <c r="E1542" s="13">
        <v>0.5</v>
      </c>
      <c r="F1542" s="14">
        <f t="shared" si="99"/>
        <v>9.5</v>
      </c>
      <c r="H1542" s="90">
        <f>SUM(F1542:G1548)</f>
        <v>36</v>
      </c>
    </row>
    <row r="1543" spans="1:8" x14ac:dyDescent="0.25">
      <c r="A1543" s="11">
        <v>45524</v>
      </c>
      <c r="B1543" s="83" t="s">
        <v>12</v>
      </c>
      <c r="C1543" s="85">
        <v>0.25</v>
      </c>
      <c r="D1543" s="85">
        <v>0.64583333333333337</v>
      </c>
      <c r="E1543" s="13">
        <v>1.5</v>
      </c>
      <c r="F1543" s="14">
        <f t="shared" si="99"/>
        <v>8</v>
      </c>
      <c r="H1543" s="91"/>
    </row>
    <row r="1544" spans="1:8" x14ac:dyDescent="0.25">
      <c r="A1544" s="6">
        <v>45525</v>
      </c>
      <c r="B1544" s="82" t="s">
        <v>9</v>
      </c>
      <c r="C1544" s="85">
        <v>0.25</v>
      </c>
      <c r="D1544" s="85">
        <v>0.66666666666666663</v>
      </c>
      <c r="E1544" s="13">
        <v>0.5</v>
      </c>
      <c r="F1544" s="14">
        <f t="shared" si="99"/>
        <v>9.5</v>
      </c>
      <c r="H1544" s="91"/>
    </row>
    <row r="1545" spans="1:8" x14ac:dyDescent="0.25">
      <c r="A1545" s="11">
        <v>45526</v>
      </c>
      <c r="B1545" s="83" t="s">
        <v>12</v>
      </c>
      <c r="C1545" s="85">
        <v>0.25</v>
      </c>
      <c r="D1545" s="85">
        <v>0.64583333333333337</v>
      </c>
      <c r="E1545" s="13">
        <v>0.5</v>
      </c>
      <c r="F1545" s="14">
        <f t="shared" si="99"/>
        <v>9</v>
      </c>
      <c r="H1545" s="91"/>
    </row>
    <row r="1546" spans="1:8" x14ac:dyDescent="0.25">
      <c r="A1546" s="6">
        <v>45527</v>
      </c>
      <c r="B1546" s="87" t="s">
        <v>14</v>
      </c>
      <c r="C1546" s="85"/>
      <c r="D1546" s="85"/>
      <c r="E1546" s="13"/>
      <c r="F1546" s="14" t="str">
        <f t="shared" si="99"/>
        <v/>
      </c>
      <c r="H1546" s="91"/>
    </row>
    <row r="1547" spans="1:8" x14ac:dyDescent="0.25">
      <c r="A1547" s="11">
        <v>45528</v>
      </c>
      <c r="B1547" s="87"/>
      <c r="C1547" s="85"/>
      <c r="D1547" s="85"/>
      <c r="E1547" s="13"/>
      <c r="F1547" s="14" t="str">
        <f t="shared" si="99"/>
        <v/>
      </c>
      <c r="H1547" s="91"/>
    </row>
    <row r="1548" spans="1:8" x14ac:dyDescent="0.25">
      <c r="A1548" s="6">
        <v>45529</v>
      </c>
      <c r="B1548" s="87"/>
      <c r="C1548" s="85"/>
      <c r="D1548" s="85"/>
      <c r="E1548" s="13"/>
      <c r="F1548" s="14" t="str">
        <f t="shared" si="99"/>
        <v/>
      </c>
      <c r="H1548" s="92"/>
    </row>
    <row r="1549" spans="1:8" x14ac:dyDescent="0.25">
      <c r="A1549" s="11">
        <v>45530</v>
      </c>
      <c r="B1549" s="82" t="s">
        <v>9</v>
      </c>
      <c r="C1549" s="85">
        <v>0.25</v>
      </c>
      <c r="D1549" s="85">
        <v>0.64583333333333337</v>
      </c>
      <c r="E1549" s="13">
        <v>0.5</v>
      </c>
      <c r="F1549" s="14">
        <f t="shared" si="99"/>
        <v>9</v>
      </c>
      <c r="H1549" s="90">
        <f>SUM(F1549:G1555)</f>
        <v>9</v>
      </c>
    </row>
    <row r="1550" spans="1:8" x14ac:dyDescent="0.25">
      <c r="A1550" s="6">
        <v>45531</v>
      </c>
      <c r="B1550" s="87" t="s">
        <v>8</v>
      </c>
      <c r="C1550" s="85"/>
      <c r="D1550" s="85"/>
      <c r="E1550" s="13"/>
      <c r="F1550" s="14" t="str">
        <f t="shared" si="99"/>
        <v/>
      </c>
      <c r="H1550" s="91"/>
    </row>
    <row r="1551" spans="1:8" x14ac:dyDescent="0.25">
      <c r="A1551" s="11">
        <v>45532</v>
      </c>
      <c r="B1551" s="87" t="s">
        <v>8</v>
      </c>
      <c r="C1551" s="85"/>
      <c r="D1551" s="85"/>
      <c r="E1551" s="13"/>
      <c r="F1551" s="14" t="str">
        <f t="shared" si="99"/>
        <v/>
      </c>
      <c r="H1551" s="91"/>
    </row>
    <row r="1552" spans="1:8" x14ac:dyDescent="0.25">
      <c r="A1552" s="6">
        <v>45533</v>
      </c>
      <c r="B1552" s="87" t="s">
        <v>8</v>
      </c>
      <c r="C1552" s="85"/>
      <c r="D1552" s="85"/>
      <c r="E1552" s="13"/>
      <c r="F1552" s="14" t="str">
        <f t="shared" si="99"/>
        <v/>
      </c>
      <c r="H1552" s="91"/>
    </row>
    <row r="1553" spans="1:8" x14ac:dyDescent="0.25">
      <c r="A1553" s="11">
        <v>45534</v>
      </c>
      <c r="B1553" s="7" t="s">
        <v>13</v>
      </c>
      <c r="C1553" s="85"/>
      <c r="D1553" s="85"/>
      <c r="E1553" s="13"/>
      <c r="F1553" s="14" t="str">
        <f t="shared" si="99"/>
        <v/>
      </c>
      <c r="H1553" s="91"/>
    </row>
    <row r="1554" spans="1:8" x14ac:dyDescent="0.25">
      <c r="A1554" s="6">
        <v>45535</v>
      </c>
      <c r="B1554" s="87"/>
      <c r="C1554" s="85"/>
      <c r="D1554" s="85"/>
      <c r="E1554" s="13"/>
      <c r="F1554" s="14" t="str">
        <f t="shared" si="99"/>
        <v/>
      </c>
      <c r="H1554" s="91"/>
    </row>
    <row r="1555" spans="1:8" x14ac:dyDescent="0.25">
      <c r="A1555" s="11">
        <v>45536</v>
      </c>
      <c r="B1555" s="87"/>
      <c r="C1555" s="85"/>
      <c r="D1555" s="85"/>
      <c r="E1555" s="13"/>
      <c r="F1555" s="14" t="str">
        <f t="shared" si="99"/>
        <v/>
      </c>
      <c r="H1555" s="92"/>
    </row>
    <row r="1556" spans="1:8" x14ac:dyDescent="0.25">
      <c r="A1556" s="6">
        <v>45537</v>
      </c>
      <c r="B1556" s="82" t="s">
        <v>9</v>
      </c>
      <c r="C1556" s="85">
        <v>0.25</v>
      </c>
      <c r="D1556" s="85">
        <v>0.64583333333333337</v>
      </c>
      <c r="E1556" s="13">
        <v>0.5</v>
      </c>
      <c r="F1556" s="14">
        <f t="shared" si="99"/>
        <v>9</v>
      </c>
      <c r="H1556" s="90">
        <f>SUM(F1556:G1562)</f>
        <v>36</v>
      </c>
    </row>
    <row r="1557" spans="1:8" x14ac:dyDescent="0.25">
      <c r="A1557" s="11">
        <v>45538</v>
      </c>
      <c r="B1557" s="82" t="s">
        <v>9</v>
      </c>
      <c r="C1557" s="85">
        <v>0.25</v>
      </c>
      <c r="D1557" s="85">
        <v>0.64583333333333337</v>
      </c>
      <c r="E1557" s="13">
        <v>0.5</v>
      </c>
      <c r="F1557" s="14">
        <f t="shared" si="99"/>
        <v>9</v>
      </c>
      <c r="H1557" s="91"/>
    </row>
    <row r="1558" spans="1:8" x14ac:dyDescent="0.25">
      <c r="A1558" s="6">
        <v>45539</v>
      </c>
      <c r="B1558" s="82" t="s">
        <v>9</v>
      </c>
      <c r="C1558" s="85">
        <v>0.25</v>
      </c>
      <c r="D1558" s="85">
        <v>0.64583333333333337</v>
      </c>
      <c r="E1558" s="13">
        <v>0.5</v>
      </c>
      <c r="F1558" s="14">
        <f t="shared" si="99"/>
        <v>9</v>
      </c>
      <c r="H1558" s="91"/>
    </row>
    <row r="1559" spans="1:8" x14ac:dyDescent="0.25">
      <c r="A1559" s="11">
        <v>45540</v>
      </c>
      <c r="B1559" s="82" t="s">
        <v>9</v>
      </c>
      <c r="C1559" s="85">
        <v>0.25</v>
      </c>
      <c r="D1559" s="85">
        <v>0.64583333333333337</v>
      </c>
      <c r="E1559" s="13">
        <v>0.5</v>
      </c>
      <c r="F1559" s="14">
        <f t="shared" si="99"/>
        <v>9</v>
      </c>
      <c r="H1559" s="91"/>
    </row>
    <row r="1560" spans="1:8" x14ac:dyDescent="0.25">
      <c r="A1560" s="6">
        <v>45541</v>
      </c>
      <c r="B1560" s="87" t="s">
        <v>14</v>
      </c>
      <c r="C1560" s="85"/>
      <c r="D1560" s="85"/>
      <c r="E1560" s="13"/>
      <c r="F1560" s="14" t="str">
        <f t="shared" si="99"/>
        <v/>
      </c>
      <c r="H1560" s="91"/>
    </row>
    <row r="1561" spans="1:8" x14ac:dyDescent="0.25">
      <c r="A1561" s="11">
        <v>45542</v>
      </c>
      <c r="B1561" s="87"/>
      <c r="C1561" s="85"/>
      <c r="D1561" s="85"/>
      <c r="E1561" s="13"/>
      <c r="F1561" s="14" t="str">
        <f t="shared" si="99"/>
        <v/>
      </c>
      <c r="H1561" s="91"/>
    </row>
    <row r="1562" spans="1:8" x14ac:dyDescent="0.25">
      <c r="A1562" s="6">
        <v>45543</v>
      </c>
      <c r="B1562" s="87"/>
      <c r="C1562" s="85"/>
      <c r="D1562" s="85"/>
      <c r="E1562" s="13"/>
      <c r="F1562" s="14" t="str">
        <f t="shared" si="99"/>
        <v/>
      </c>
      <c r="H1562" s="92"/>
    </row>
    <row r="1563" spans="1:8" x14ac:dyDescent="0.25">
      <c r="A1563" s="11">
        <v>45544</v>
      </c>
      <c r="B1563" s="82" t="s">
        <v>9</v>
      </c>
      <c r="C1563" s="85">
        <v>0.25</v>
      </c>
      <c r="D1563" s="85">
        <v>0.64583333333333337</v>
      </c>
      <c r="E1563" s="13">
        <v>0.5</v>
      </c>
      <c r="F1563" s="14">
        <f t="shared" si="99"/>
        <v>9</v>
      </c>
      <c r="H1563" s="90">
        <f>SUM(F1563:G1569)</f>
        <v>36</v>
      </c>
    </row>
    <row r="1564" spans="1:8" x14ac:dyDescent="0.25">
      <c r="A1564" s="6">
        <v>45545</v>
      </c>
      <c r="B1564" s="82" t="s">
        <v>9</v>
      </c>
      <c r="C1564" s="85">
        <v>0.25</v>
      </c>
      <c r="D1564" s="85">
        <v>0.64583333333333337</v>
      </c>
      <c r="E1564" s="13">
        <v>0.5</v>
      </c>
      <c r="F1564" s="14">
        <f t="shared" ref="F1564:F1627" si="100">IF(C1564="", "", IF(D1564="", "", (D1564-C1564)*24 - E1564))</f>
        <v>9</v>
      </c>
      <c r="H1564" s="91"/>
    </row>
    <row r="1565" spans="1:8" x14ac:dyDescent="0.25">
      <c r="A1565" s="11">
        <v>45546</v>
      </c>
      <c r="B1565" s="82" t="s">
        <v>9</v>
      </c>
      <c r="C1565" s="85">
        <v>0.25</v>
      </c>
      <c r="D1565" s="85">
        <v>0.64583333333333337</v>
      </c>
      <c r="E1565" s="13">
        <v>0.5</v>
      </c>
      <c r="F1565" s="14">
        <f t="shared" si="100"/>
        <v>9</v>
      </c>
      <c r="H1565" s="91"/>
    </row>
    <row r="1566" spans="1:8" x14ac:dyDescent="0.25">
      <c r="A1566" s="6">
        <v>45547</v>
      </c>
      <c r="B1566" s="83" t="s">
        <v>12</v>
      </c>
      <c r="C1566" s="85">
        <v>0.25</v>
      </c>
      <c r="D1566" s="85">
        <v>0.64583333333333337</v>
      </c>
      <c r="E1566" s="13">
        <v>0.5</v>
      </c>
      <c r="F1566" s="14">
        <f t="shared" si="100"/>
        <v>9</v>
      </c>
      <c r="H1566" s="91"/>
    </row>
    <row r="1567" spans="1:8" x14ac:dyDescent="0.25">
      <c r="A1567" s="11">
        <v>45548</v>
      </c>
      <c r="B1567" s="87" t="s">
        <v>14</v>
      </c>
      <c r="C1567" s="85"/>
      <c r="D1567" s="85"/>
      <c r="E1567" s="13"/>
      <c r="F1567" s="14" t="str">
        <f t="shared" si="100"/>
        <v/>
      </c>
      <c r="H1567" s="91"/>
    </row>
    <row r="1568" spans="1:8" x14ac:dyDescent="0.25">
      <c r="A1568" s="6">
        <v>45549</v>
      </c>
      <c r="B1568" s="87"/>
      <c r="C1568" s="85"/>
      <c r="D1568" s="85"/>
      <c r="E1568" s="13"/>
      <c r="F1568" s="14" t="str">
        <f t="shared" si="100"/>
        <v/>
      </c>
      <c r="H1568" s="91"/>
    </row>
    <row r="1569" spans="1:8" x14ac:dyDescent="0.25">
      <c r="A1569" s="11">
        <v>45550</v>
      </c>
      <c r="B1569" s="87"/>
      <c r="C1569" s="85"/>
      <c r="D1569" s="85"/>
      <c r="E1569" s="13"/>
      <c r="F1569" s="14" t="str">
        <f t="shared" si="100"/>
        <v/>
      </c>
      <c r="H1569" s="92"/>
    </row>
    <row r="1570" spans="1:8" x14ac:dyDescent="0.25">
      <c r="A1570" s="6">
        <v>45551</v>
      </c>
      <c r="B1570" s="82" t="s">
        <v>9</v>
      </c>
      <c r="C1570" s="85">
        <v>0.25</v>
      </c>
      <c r="D1570" s="85">
        <v>0.64583333333333337</v>
      </c>
      <c r="E1570" s="13">
        <v>0.5</v>
      </c>
      <c r="F1570" s="14">
        <f t="shared" si="100"/>
        <v>9</v>
      </c>
      <c r="H1570" s="90">
        <f>SUM(F1570:G1576)</f>
        <v>36</v>
      </c>
    </row>
    <row r="1571" spans="1:8" x14ac:dyDescent="0.25">
      <c r="A1571" s="11">
        <v>45552</v>
      </c>
      <c r="B1571" s="82" t="s">
        <v>9</v>
      </c>
      <c r="C1571" s="85">
        <v>0.25</v>
      </c>
      <c r="D1571" s="85">
        <v>0.64583333333333337</v>
      </c>
      <c r="E1571" s="13">
        <v>0.5</v>
      </c>
      <c r="F1571" s="14">
        <f t="shared" si="100"/>
        <v>9</v>
      </c>
      <c r="H1571" s="91"/>
    </row>
    <row r="1572" spans="1:8" x14ac:dyDescent="0.25">
      <c r="A1572" s="6">
        <v>45553</v>
      </c>
      <c r="B1572" s="83" t="s">
        <v>12</v>
      </c>
      <c r="C1572" s="85">
        <v>0.25</v>
      </c>
      <c r="D1572" s="85">
        <v>0.64583333333333337</v>
      </c>
      <c r="E1572" s="13">
        <v>0.5</v>
      </c>
      <c r="F1572" s="14">
        <f t="shared" si="100"/>
        <v>9</v>
      </c>
      <c r="H1572" s="91"/>
    </row>
    <row r="1573" spans="1:8" x14ac:dyDescent="0.25">
      <c r="A1573" s="11">
        <v>45554</v>
      </c>
      <c r="B1573" s="82" t="s">
        <v>9</v>
      </c>
      <c r="C1573" s="85">
        <v>0.25</v>
      </c>
      <c r="D1573" s="85">
        <v>0.64583333333333337</v>
      </c>
      <c r="E1573" s="13">
        <v>0.5</v>
      </c>
      <c r="F1573" s="14">
        <f t="shared" si="100"/>
        <v>9</v>
      </c>
      <c r="H1573" s="91"/>
    </row>
    <row r="1574" spans="1:8" x14ac:dyDescent="0.25">
      <c r="A1574" s="6">
        <v>45555</v>
      </c>
      <c r="B1574" s="87" t="s">
        <v>14</v>
      </c>
      <c r="C1574" s="85"/>
      <c r="D1574" s="85"/>
      <c r="E1574" s="13"/>
      <c r="F1574" s="14" t="str">
        <f t="shared" si="100"/>
        <v/>
      </c>
      <c r="H1574" s="91"/>
    </row>
    <row r="1575" spans="1:8" x14ac:dyDescent="0.25">
      <c r="A1575" s="11">
        <v>45556</v>
      </c>
      <c r="B1575" s="87"/>
      <c r="C1575" s="85"/>
      <c r="D1575" s="85"/>
      <c r="E1575" s="13"/>
      <c r="F1575" s="14" t="str">
        <f t="shared" si="100"/>
        <v/>
      </c>
      <c r="H1575" s="91"/>
    </row>
    <row r="1576" spans="1:8" x14ac:dyDescent="0.25">
      <c r="A1576" s="6">
        <v>45557</v>
      </c>
      <c r="B1576" s="87"/>
      <c r="C1576" s="85"/>
      <c r="D1576" s="85"/>
      <c r="E1576" s="13"/>
      <c r="F1576" s="14" t="str">
        <f t="shared" si="100"/>
        <v/>
      </c>
      <c r="H1576" s="92"/>
    </row>
    <row r="1577" spans="1:8" x14ac:dyDescent="0.25">
      <c r="A1577" s="11">
        <v>45558</v>
      </c>
      <c r="B1577" s="82" t="s">
        <v>9</v>
      </c>
      <c r="C1577" s="85">
        <v>0.25</v>
      </c>
      <c r="D1577" s="85">
        <v>0.64583333333333337</v>
      </c>
      <c r="E1577" s="13">
        <v>0.5</v>
      </c>
      <c r="F1577" s="14">
        <f t="shared" si="100"/>
        <v>9</v>
      </c>
      <c r="H1577" s="90">
        <f>SUM(F1577:G1583)</f>
        <v>36</v>
      </c>
    </row>
    <row r="1578" spans="1:8" x14ac:dyDescent="0.25">
      <c r="A1578" s="6">
        <v>45559</v>
      </c>
      <c r="B1578" s="82" t="s">
        <v>9</v>
      </c>
      <c r="C1578" s="85">
        <v>0.25</v>
      </c>
      <c r="D1578" s="85">
        <v>0.64583333333333337</v>
      </c>
      <c r="E1578" s="13">
        <v>0.5</v>
      </c>
      <c r="F1578" s="14">
        <f t="shared" si="100"/>
        <v>9</v>
      </c>
      <c r="H1578" s="91"/>
    </row>
    <row r="1579" spans="1:8" x14ac:dyDescent="0.25">
      <c r="A1579" s="11">
        <v>45560</v>
      </c>
      <c r="B1579" s="83" t="s">
        <v>12</v>
      </c>
      <c r="C1579" s="85">
        <v>0.25</v>
      </c>
      <c r="D1579" s="85">
        <v>0.64583333333333337</v>
      </c>
      <c r="E1579" s="13">
        <v>0.5</v>
      </c>
      <c r="F1579" s="14">
        <f t="shared" si="100"/>
        <v>9</v>
      </c>
      <c r="H1579" s="91"/>
    </row>
    <row r="1580" spans="1:8" x14ac:dyDescent="0.25">
      <c r="A1580" s="6">
        <v>45561</v>
      </c>
      <c r="B1580" s="87" t="s">
        <v>8</v>
      </c>
      <c r="C1580" s="85">
        <v>0.25</v>
      </c>
      <c r="D1580" s="85">
        <v>0.64583333333333337</v>
      </c>
      <c r="E1580" s="13">
        <v>0.5</v>
      </c>
      <c r="F1580" s="14">
        <f t="shared" si="100"/>
        <v>9</v>
      </c>
      <c r="H1580" s="91"/>
    </row>
    <row r="1581" spans="1:8" x14ac:dyDescent="0.25">
      <c r="A1581" s="11">
        <v>45562</v>
      </c>
      <c r="B1581" s="87" t="s">
        <v>14</v>
      </c>
      <c r="C1581" s="85"/>
      <c r="D1581" s="85"/>
      <c r="E1581" s="13"/>
      <c r="F1581" s="14" t="str">
        <f t="shared" si="100"/>
        <v/>
      </c>
      <c r="H1581" s="91"/>
    </row>
    <row r="1582" spans="1:8" x14ac:dyDescent="0.25">
      <c r="A1582" s="6">
        <v>45563</v>
      </c>
      <c r="B1582" s="87"/>
      <c r="C1582" s="85"/>
      <c r="D1582" s="85"/>
      <c r="E1582" s="13"/>
      <c r="F1582" s="14" t="str">
        <f t="shared" si="100"/>
        <v/>
      </c>
      <c r="H1582" s="91"/>
    </row>
    <row r="1583" spans="1:8" x14ac:dyDescent="0.25">
      <c r="A1583" s="11">
        <v>45564</v>
      </c>
      <c r="B1583" s="87"/>
      <c r="C1583" s="85"/>
      <c r="D1583" s="85"/>
      <c r="E1583" s="13"/>
      <c r="F1583" s="14" t="str">
        <f t="shared" si="100"/>
        <v/>
      </c>
      <c r="H1583" s="92"/>
    </row>
    <row r="1584" spans="1:8" x14ac:dyDescent="0.25">
      <c r="A1584" s="6">
        <v>45565</v>
      </c>
      <c r="B1584" s="82" t="s">
        <v>9</v>
      </c>
      <c r="C1584" s="85">
        <v>0.25</v>
      </c>
      <c r="D1584" s="85">
        <v>0.64583333333333337</v>
      </c>
      <c r="E1584" s="13">
        <v>0.5</v>
      </c>
      <c r="F1584" s="14">
        <f t="shared" si="100"/>
        <v>9</v>
      </c>
      <c r="H1584" s="90">
        <f>SUM(F1584:G1590)</f>
        <v>61.833333333333343</v>
      </c>
    </row>
    <row r="1585" spans="1:8" x14ac:dyDescent="0.25">
      <c r="A1585" s="11">
        <v>45566</v>
      </c>
      <c r="B1585" s="82" t="s">
        <v>9</v>
      </c>
      <c r="C1585" s="85">
        <v>0.25</v>
      </c>
      <c r="D1585" s="85">
        <v>0.64583333333333337</v>
      </c>
      <c r="E1585" s="13">
        <v>0.5</v>
      </c>
      <c r="F1585" s="14">
        <f t="shared" si="100"/>
        <v>9</v>
      </c>
      <c r="G1585">
        <v>1</v>
      </c>
      <c r="H1585" s="91"/>
    </row>
    <row r="1586" spans="1:8" x14ac:dyDescent="0.25">
      <c r="A1586" s="6">
        <v>45567</v>
      </c>
      <c r="B1586" s="82" t="s">
        <v>9</v>
      </c>
      <c r="C1586" s="85">
        <v>0.25</v>
      </c>
      <c r="D1586" s="85">
        <v>0.64583333333333337</v>
      </c>
      <c r="E1586" s="13">
        <v>0.5</v>
      </c>
      <c r="F1586" s="14">
        <f t="shared" si="100"/>
        <v>9</v>
      </c>
      <c r="G1586">
        <v>3</v>
      </c>
      <c r="H1586" s="91"/>
    </row>
    <row r="1587" spans="1:8" x14ac:dyDescent="0.25">
      <c r="A1587" s="11">
        <v>45568</v>
      </c>
      <c r="B1587" s="83" t="s">
        <v>12</v>
      </c>
      <c r="C1587" s="85">
        <v>0.25</v>
      </c>
      <c r="D1587" s="85">
        <v>0.64583333333333337</v>
      </c>
      <c r="E1587" s="13">
        <v>0.5</v>
      </c>
      <c r="F1587" s="14">
        <f t="shared" si="100"/>
        <v>9</v>
      </c>
      <c r="G1587">
        <v>1</v>
      </c>
      <c r="H1587" s="91"/>
    </row>
    <row r="1588" spans="1:8" x14ac:dyDescent="0.25">
      <c r="A1588" s="6">
        <v>45569</v>
      </c>
      <c r="B1588" s="87" t="s">
        <v>14</v>
      </c>
      <c r="C1588" s="85"/>
      <c r="D1588" s="85"/>
      <c r="E1588" s="13"/>
      <c r="F1588" s="14" t="str">
        <f t="shared" si="100"/>
        <v/>
      </c>
      <c r="G1588">
        <v>2</v>
      </c>
      <c r="H1588" s="91"/>
    </row>
    <row r="1589" spans="1:8" x14ac:dyDescent="0.25">
      <c r="A1589" s="11">
        <v>45570</v>
      </c>
      <c r="B1589" s="7" t="s">
        <v>15</v>
      </c>
      <c r="C1589" s="85">
        <v>0.28472222222222221</v>
      </c>
      <c r="D1589" s="85">
        <v>0.64583333333333337</v>
      </c>
      <c r="E1589" s="13">
        <v>0.5</v>
      </c>
      <c r="F1589" s="14">
        <f t="shared" si="100"/>
        <v>8.1666666666666679</v>
      </c>
      <c r="G1589">
        <v>1.5</v>
      </c>
      <c r="H1589" s="91"/>
    </row>
    <row r="1590" spans="1:8" x14ac:dyDescent="0.25">
      <c r="A1590" s="6">
        <v>45571</v>
      </c>
      <c r="B1590" s="35" t="s">
        <v>15</v>
      </c>
      <c r="C1590" s="85">
        <v>0.28472222222222221</v>
      </c>
      <c r="D1590" s="85">
        <v>0.64583333333333337</v>
      </c>
      <c r="E1590" s="13">
        <v>0.5</v>
      </c>
      <c r="F1590" s="14">
        <f t="shared" si="100"/>
        <v>8.1666666666666679</v>
      </c>
      <c r="G1590">
        <v>1</v>
      </c>
      <c r="H1590" s="92"/>
    </row>
    <row r="1591" spans="1:8" x14ac:dyDescent="0.25">
      <c r="A1591" s="11">
        <v>45572</v>
      </c>
      <c r="B1591" s="7" t="s">
        <v>13</v>
      </c>
      <c r="C1591" s="85">
        <v>0.28472222222222221</v>
      </c>
      <c r="D1591" s="85">
        <v>0.64583333333333337</v>
      </c>
      <c r="E1591" s="13">
        <v>0.5</v>
      </c>
      <c r="F1591" s="14">
        <f t="shared" si="100"/>
        <v>8.1666666666666679</v>
      </c>
      <c r="H1591" s="90">
        <f>SUM(F1591:G1597)</f>
        <v>60.000000000000014</v>
      </c>
    </row>
    <row r="1592" spans="1:8" x14ac:dyDescent="0.25">
      <c r="A1592" s="6">
        <v>45573</v>
      </c>
      <c r="B1592" s="82" t="s">
        <v>9</v>
      </c>
      <c r="C1592" s="85">
        <v>0.25</v>
      </c>
      <c r="D1592" s="85">
        <v>0.64583333333333337</v>
      </c>
      <c r="E1592" s="13">
        <v>0.5</v>
      </c>
      <c r="F1592" s="14">
        <f t="shared" si="100"/>
        <v>9</v>
      </c>
      <c r="G1592">
        <v>2</v>
      </c>
      <c r="H1592" s="91"/>
    </row>
    <row r="1593" spans="1:8" x14ac:dyDescent="0.25">
      <c r="A1593" s="11">
        <v>45574</v>
      </c>
      <c r="B1593" s="82" t="s">
        <v>9</v>
      </c>
      <c r="C1593" s="85">
        <v>0.25</v>
      </c>
      <c r="D1593" s="85">
        <v>0.64583333333333337</v>
      </c>
      <c r="E1593" s="13">
        <v>0.5</v>
      </c>
      <c r="F1593" s="14">
        <f t="shared" si="100"/>
        <v>9</v>
      </c>
      <c r="G1593">
        <v>2</v>
      </c>
      <c r="H1593" s="91"/>
    </row>
    <row r="1594" spans="1:8" x14ac:dyDescent="0.25">
      <c r="A1594" s="6">
        <v>45575</v>
      </c>
      <c r="B1594" s="82" t="s">
        <v>9</v>
      </c>
      <c r="C1594" s="85">
        <v>0.25</v>
      </c>
      <c r="D1594" s="85">
        <v>0.64583333333333337</v>
      </c>
      <c r="E1594" s="13">
        <v>0.5</v>
      </c>
      <c r="F1594" s="14">
        <f t="shared" si="100"/>
        <v>9</v>
      </c>
      <c r="H1594" s="91"/>
    </row>
    <row r="1595" spans="1:8" x14ac:dyDescent="0.25">
      <c r="A1595" s="11">
        <v>45576</v>
      </c>
      <c r="B1595" s="87" t="s">
        <v>14</v>
      </c>
      <c r="C1595" s="85"/>
      <c r="D1595" s="85"/>
      <c r="E1595" s="13"/>
      <c r="F1595" s="14" t="str">
        <f t="shared" si="100"/>
        <v/>
      </c>
      <c r="G1595">
        <v>1</v>
      </c>
      <c r="H1595" s="91"/>
    </row>
    <row r="1596" spans="1:8" x14ac:dyDescent="0.25">
      <c r="A1596" s="6">
        <v>45577</v>
      </c>
      <c r="B1596" s="7" t="s">
        <v>15</v>
      </c>
      <c r="C1596" s="85">
        <v>0.28472222222222221</v>
      </c>
      <c r="D1596" s="85">
        <v>0.64583333333333337</v>
      </c>
      <c r="E1596" s="13">
        <v>0.5</v>
      </c>
      <c r="F1596" s="14">
        <f t="shared" si="100"/>
        <v>8.1666666666666679</v>
      </c>
      <c r="G1596">
        <v>1</v>
      </c>
      <c r="H1596" s="91"/>
    </row>
    <row r="1597" spans="1:8" x14ac:dyDescent="0.25">
      <c r="A1597" s="11">
        <v>45578</v>
      </c>
      <c r="B1597" s="35" t="s">
        <v>15</v>
      </c>
      <c r="C1597" s="85">
        <v>0.28472222222222221</v>
      </c>
      <c r="D1597" s="85">
        <v>0.64583333333333337</v>
      </c>
      <c r="E1597" s="13">
        <v>0.5</v>
      </c>
      <c r="F1597" s="14">
        <f t="shared" si="100"/>
        <v>8.1666666666666679</v>
      </c>
      <c r="G1597">
        <v>2.5</v>
      </c>
      <c r="H1597" s="92"/>
    </row>
    <row r="1598" spans="1:8" x14ac:dyDescent="0.25">
      <c r="A1598" s="6">
        <v>45579</v>
      </c>
      <c r="B1598" s="87" t="s">
        <v>8</v>
      </c>
      <c r="C1598" s="85"/>
      <c r="D1598" s="85"/>
      <c r="E1598" s="13"/>
      <c r="F1598" s="14" t="str">
        <f t="shared" si="100"/>
        <v/>
      </c>
      <c r="H1598" s="90">
        <f>SUM(F1598:G1604)</f>
        <v>0</v>
      </c>
    </row>
    <row r="1599" spans="1:8" x14ac:dyDescent="0.25">
      <c r="A1599" s="11">
        <v>45580</v>
      </c>
      <c r="B1599" s="87" t="s">
        <v>8</v>
      </c>
      <c r="C1599" s="85"/>
      <c r="D1599" s="85"/>
      <c r="E1599" s="13"/>
      <c r="F1599" s="14" t="str">
        <f t="shared" si="100"/>
        <v/>
      </c>
      <c r="H1599" s="91"/>
    </row>
    <row r="1600" spans="1:8" x14ac:dyDescent="0.25">
      <c r="A1600" s="6">
        <v>45581</v>
      </c>
      <c r="B1600" s="87" t="s">
        <v>8</v>
      </c>
      <c r="C1600" s="85"/>
      <c r="D1600" s="85"/>
      <c r="E1600" s="13"/>
      <c r="F1600" s="14" t="str">
        <f t="shared" si="100"/>
        <v/>
      </c>
      <c r="H1600" s="91"/>
    </row>
    <row r="1601" spans="1:8" x14ac:dyDescent="0.25">
      <c r="A1601" s="11">
        <v>45582</v>
      </c>
      <c r="B1601" s="87" t="s">
        <v>8</v>
      </c>
      <c r="C1601" s="85"/>
      <c r="D1601" s="85"/>
      <c r="E1601" s="13"/>
      <c r="F1601" s="14" t="str">
        <f t="shared" si="100"/>
        <v/>
      </c>
      <c r="H1601" s="91"/>
    </row>
    <row r="1602" spans="1:8" x14ac:dyDescent="0.25">
      <c r="A1602" s="6">
        <v>45583</v>
      </c>
      <c r="B1602" s="87" t="s">
        <v>14</v>
      </c>
      <c r="C1602" s="85"/>
      <c r="D1602" s="85"/>
      <c r="E1602" s="13"/>
      <c r="F1602" s="14" t="str">
        <f t="shared" si="100"/>
        <v/>
      </c>
      <c r="H1602" s="91"/>
    </row>
    <row r="1603" spans="1:8" x14ac:dyDescent="0.25">
      <c r="A1603" s="11">
        <v>45584</v>
      </c>
      <c r="B1603" s="87"/>
      <c r="C1603" s="85"/>
      <c r="D1603" s="85"/>
      <c r="E1603" s="13"/>
      <c r="F1603" s="14" t="str">
        <f t="shared" si="100"/>
        <v/>
      </c>
      <c r="H1603" s="91"/>
    </row>
    <row r="1604" spans="1:8" x14ac:dyDescent="0.25">
      <c r="A1604" s="6">
        <v>45585</v>
      </c>
      <c r="B1604" s="87"/>
      <c r="C1604" s="85"/>
      <c r="D1604" s="85"/>
      <c r="E1604" s="13"/>
      <c r="F1604" s="14" t="str">
        <f t="shared" si="100"/>
        <v/>
      </c>
      <c r="H1604" s="92"/>
    </row>
    <row r="1605" spans="1:8" x14ac:dyDescent="0.25">
      <c r="A1605" s="11">
        <v>45586</v>
      </c>
      <c r="B1605" s="82" t="s">
        <v>9</v>
      </c>
      <c r="C1605" s="85">
        <v>0.25</v>
      </c>
      <c r="D1605" s="85">
        <v>0.64583333333333337</v>
      </c>
      <c r="E1605" s="13">
        <v>0.5</v>
      </c>
      <c r="F1605" s="14">
        <f t="shared" si="100"/>
        <v>9</v>
      </c>
      <c r="H1605" s="90">
        <f>SUM(F1605:G1611)</f>
        <v>36</v>
      </c>
    </row>
    <row r="1606" spans="1:8" x14ac:dyDescent="0.25">
      <c r="A1606" s="6">
        <v>45587</v>
      </c>
      <c r="B1606" s="83" t="s">
        <v>12</v>
      </c>
      <c r="C1606" s="85">
        <v>0.25</v>
      </c>
      <c r="D1606" s="85">
        <v>0.64583333333333337</v>
      </c>
      <c r="E1606" s="13">
        <v>0.5</v>
      </c>
      <c r="F1606" s="14">
        <f t="shared" si="100"/>
        <v>9</v>
      </c>
      <c r="H1606" s="91"/>
    </row>
    <row r="1607" spans="1:8" x14ac:dyDescent="0.25">
      <c r="A1607" s="11">
        <v>45588</v>
      </c>
      <c r="B1607" s="82" t="s">
        <v>9</v>
      </c>
      <c r="C1607" s="85">
        <v>0.25</v>
      </c>
      <c r="D1607" s="85">
        <v>0.64583333333333337</v>
      </c>
      <c r="E1607" s="13">
        <v>0.5</v>
      </c>
      <c r="F1607" s="14">
        <f t="shared" si="100"/>
        <v>9</v>
      </c>
      <c r="H1607" s="91"/>
    </row>
    <row r="1608" spans="1:8" x14ac:dyDescent="0.25">
      <c r="A1608" s="6">
        <v>45589</v>
      </c>
      <c r="B1608" s="82" t="s">
        <v>9</v>
      </c>
      <c r="C1608" s="85">
        <v>0.25</v>
      </c>
      <c r="D1608" s="85">
        <v>0.64583333333333337</v>
      </c>
      <c r="E1608" s="13">
        <v>0.5</v>
      </c>
      <c r="F1608" s="14">
        <f t="shared" si="100"/>
        <v>9</v>
      </c>
      <c r="H1608" s="91"/>
    </row>
    <row r="1609" spans="1:8" x14ac:dyDescent="0.25">
      <c r="A1609" s="11">
        <v>45590</v>
      </c>
      <c r="B1609" s="87" t="s">
        <v>14</v>
      </c>
      <c r="C1609" s="85"/>
      <c r="D1609" s="85"/>
      <c r="E1609" s="13"/>
      <c r="F1609" s="14" t="str">
        <f t="shared" si="100"/>
        <v/>
      </c>
      <c r="H1609" s="91"/>
    </row>
    <row r="1610" spans="1:8" x14ac:dyDescent="0.25">
      <c r="A1610" s="6">
        <v>45591</v>
      </c>
      <c r="B1610" s="87"/>
      <c r="C1610" s="85"/>
      <c r="D1610" s="85"/>
      <c r="E1610" s="13"/>
      <c r="F1610" s="14" t="str">
        <f t="shared" si="100"/>
        <v/>
      </c>
      <c r="H1610" s="91"/>
    </row>
    <row r="1611" spans="1:8" x14ac:dyDescent="0.25">
      <c r="A1611" s="11">
        <v>45592</v>
      </c>
      <c r="B1611" s="86"/>
      <c r="C1611" s="85"/>
      <c r="D1611" s="85"/>
      <c r="E1611" s="13"/>
      <c r="F1611" s="14" t="str">
        <f t="shared" si="100"/>
        <v/>
      </c>
      <c r="H1611" s="92"/>
    </row>
    <row r="1612" spans="1:8" x14ac:dyDescent="0.25">
      <c r="A1612" s="6">
        <v>45593</v>
      </c>
      <c r="B1612" s="82" t="s">
        <v>9</v>
      </c>
      <c r="C1612" s="85">
        <v>0.25</v>
      </c>
      <c r="D1612" s="85">
        <v>0.64583333333333337</v>
      </c>
      <c r="E1612" s="13">
        <v>0.5</v>
      </c>
      <c r="F1612" s="14">
        <f t="shared" si="100"/>
        <v>9</v>
      </c>
      <c r="H1612" s="90">
        <f>SUM(F1612:G1618)</f>
        <v>36</v>
      </c>
    </row>
    <row r="1613" spans="1:8" x14ac:dyDescent="0.25">
      <c r="A1613" s="11">
        <v>45594</v>
      </c>
      <c r="B1613" s="82" t="s">
        <v>9</v>
      </c>
      <c r="C1613" s="85">
        <v>0.25</v>
      </c>
      <c r="D1613" s="85">
        <v>0.64583333333333337</v>
      </c>
      <c r="E1613" s="13">
        <v>0.5</v>
      </c>
      <c r="F1613" s="14">
        <f t="shared" si="100"/>
        <v>9</v>
      </c>
      <c r="H1613" s="91"/>
    </row>
    <row r="1614" spans="1:8" x14ac:dyDescent="0.25">
      <c r="A1614" s="6">
        <v>45595</v>
      </c>
      <c r="B1614" s="82" t="s">
        <v>9</v>
      </c>
      <c r="C1614" s="85">
        <v>0.25</v>
      </c>
      <c r="D1614" s="85">
        <v>0.64583333333333337</v>
      </c>
      <c r="E1614" s="13">
        <v>0.5</v>
      </c>
      <c r="F1614" s="14">
        <f>IF(C1614="", "", IF(D1614="", "", (D1614-C1614)*24 - E1614))</f>
        <v>9</v>
      </c>
      <c r="H1614" s="91"/>
    </row>
    <row r="1615" spans="1:8" x14ac:dyDescent="0.25">
      <c r="A1615" s="11">
        <v>45596</v>
      </c>
      <c r="B1615" s="83" t="s">
        <v>12</v>
      </c>
      <c r="C1615" s="85">
        <v>0.25</v>
      </c>
      <c r="D1615" s="85">
        <v>0.64583333333333337</v>
      </c>
      <c r="E1615" s="13">
        <v>0.5</v>
      </c>
      <c r="F1615" s="14">
        <f t="shared" si="100"/>
        <v>9</v>
      </c>
      <c r="H1615" s="91"/>
    </row>
    <row r="1616" spans="1:8" x14ac:dyDescent="0.25">
      <c r="A1616" s="6">
        <v>45597</v>
      </c>
      <c r="B1616" s="87" t="s">
        <v>14</v>
      </c>
      <c r="C1616" s="85"/>
      <c r="D1616" s="85"/>
      <c r="E1616" s="13"/>
      <c r="F1616" s="14" t="str">
        <f t="shared" si="100"/>
        <v/>
      </c>
      <c r="H1616" s="91"/>
    </row>
    <row r="1617" spans="1:8" x14ac:dyDescent="0.25">
      <c r="A1617" s="11">
        <v>45598</v>
      </c>
      <c r="B1617" s="87"/>
      <c r="C1617" s="85"/>
      <c r="D1617" s="85"/>
      <c r="E1617" s="13"/>
      <c r="F1617" s="14" t="str">
        <f t="shared" si="100"/>
        <v/>
      </c>
      <c r="H1617" s="91"/>
    </row>
    <row r="1618" spans="1:8" x14ac:dyDescent="0.25">
      <c r="A1618" s="6">
        <v>45599</v>
      </c>
      <c r="B1618" s="87"/>
      <c r="C1618" s="85"/>
      <c r="D1618" s="85"/>
      <c r="E1618" s="13"/>
      <c r="F1618" s="14" t="str">
        <f t="shared" si="100"/>
        <v/>
      </c>
      <c r="H1618" s="92"/>
    </row>
    <row r="1619" spans="1:8" x14ac:dyDescent="0.25">
      <c r="A1619" s="11">
        <v>45600</v>
      </c>
      <c r="B1619" s="82" t="s">
        <v>9</v>
      </c>
      <c r="C1619" s="85">
        <v>0.25</v>
      </c>
      <c r="D1619" s="85">
        <v>0.64583333333333337</v>
      </c>
      <c r="E1619" s="13">
        <v>0.5</v>
      </c>
      <c r="F1619" s="14">
        <f t="shared" si="100"/>
        <v>9</v>
      </c>
      <c r="H1619" s="90">
        <f>SUM(F1619:G1625)</f>
        <v>36</v>
      </c>
    </row>
    <row r="1620" spans="1:8" x14ac:dyDescent="0.25">
      <c r="A1620" s="6">
        <v>45601</v>
      </c>
      <c r="B1620" s="82" t="s">
        <v>9</v>
      </c>
      <c r="C1620" s="85">
        <v>0.25</v>
      </c>
      <c r="D1620" s="85">
        <v>0.64583333333333337</v>
      </c>
      <c r="E1620" s="13">
        <v>0.5</v>
      </c>
      <c r="F1620" s="14">
        <f t="shared" si="100"/>
        <v>9</v>
      </c>
      <c r="H1620" s="91"/>
    </row>
    <row r="1621" spans="1:8" x14ac:dyDescent="0.25">
      <c r="A1621" s="11">
        <v>45602</v>
      </c>
      <c r="B1621" s="82" t="s">
        <v>9</v>
      </c>
      <c r="C1621" s="85">
        <v>0.25</v>
      </c>
      <c r="D1621" s="85">
        <v>0.64583333333333337</v>
      </c>
      <c r="E1621" s="13">
        <v>0.5</v>
      </c>
      <c r="F1621" s="14">
        <f t="shared" si="100"/>
        <v>9</v>
      </c>
      <c r="H1621" s="91"/>
    </row>
    <row r="1622" spans="1:8" x14ac:dyDescent="0.25">
      <c r="A1622" s="6">
        <v>45603</v>
      </c>
      <c r="B1622" s="82" t="s">
        <v>9</v>
      </c>
      <c r="C1622" s="85">
        <v>0.25</v>
      </c>
      <c r="D1622" s="85">
        <v>0.64583333333333337</v>
      </c>
      <c r="E1622" s="13">
        <v>0.5</v>
      </c>
      <c r="F1622" s="14">
        <f t="shared" si="100"/>
        <v>9</v>
      </c>
      <c r="H1622" s="91"/>
    </row>
    <row r="1623" spans="1:8" x14ac:dyDescent="0.25">
      <c r="A1623" s="11">
        <v>45604</v>
      </c>
      <c r="B1623" s="87" t="s">
        <v>14</v>
      </c>
      <c r="C1623" s="85"/>
      <c r="D1623" s="85"/>
      <c r="E1623" s="13"/>
      <c r="F1623" s="14" t="str">
        <f t="shared" si="100"/>
        <v/>
      </c>
      <c r="H1623" s="91"/>
    </row>
    <row r="1624" spans="1:8" x14ac:dyDescent="0.25">
      <c r="A1624" s="6">
        <v>45605</v>
      </c>
      <c r="B1624" s="87"/>
      <c r="C1624" s="85"/>
      <c r="D1624" s="85"/>
      <c r="E1624" s="13"/>
      <c r="F1624" s="14" t="str">
        <f t="shared" si="100"/>
        <v/>
      </c>
      <c r="H1624" s="91"/>
    </row>
    <row r="1625" spans="1:8" x14ac:dyDescent="0.25">
      <c r="A1625" s="11">
        <v>45606</v>
      </c>
      <c r="B1625" s="87"/>
      <c r="C1625" s="85"/>
      <c r="D1625" s="85"/>
      <c r="E1625" s="13"/>
      <c r="F1625" s="14" t="str">
        <f t="shared" si="100"/>
        <v/>
      </c>
      <c r="H1625" s="92"/>
    </row>
    <row r="1626" spans="1:8" x14ac:dyDescent="0.25">
      <c r="A1626" s="6">
        <v>45607</v>
      </c>
      <c r="B1626" s="82" t="s">
        <v>9</v>
      </c>
      <c r="C1626" s="85">
        <v>0.25</v>
      </c>
      <c r="D1626" s="85">
        <v>0.64583333333333337</v>
      </c>
      <c r="E1626" s="13">
        <v>0.5</v>
      </c>
      <c r="F1626" s="14">
        <f t="shared" si="100"/>
        <v>9</v>
      </c>
      <c r="H1626" s="90">
        <f>SUM(F1626:G1632)</f>
        <v>36</v>
      </c>
    </row>
    <row r="1627" spans="1:8" x14ac:dyDescent="0.25">
      <c r="A1627" s="11">
        <v>45608</v>
      </c>
      <c r="B1627" s="83" t="s">
        <v>12</v>
      </c>
      <c r="C1627" s="85">
        <v>0.25</v>
      </c>
      <c r="D1627" s="85">
        <v>0.64583333333333337</v>
      </c>
      <c r="E1627" s="13">
        <v>0.5</v>
      </c>
      <c r="F1627" s="14">
        <f t="shared" si="100"/>
        <v>9</v>
      </c>
      <c r="H1627" s="91"/>
    </row>
    <row r="1628" spans="1:8" x14ac:dyDescent="0.25">
      <c r="A1628" s="6">
        <v>45609</v>
      </c>
      <c r="B1628" s="82" t="s">
        <v>9</v>
      </c>
      <c r="C1628" s="85">
        <v>0.25</v>
      </c>
      <c r="D1628" s="85">
        <v>0.64583333333333337</v>
      </c>
      <c r="E1628" s="13">
        <v>0.5</v>
      </c>
      <c r="F1628" s="14">
        <f t="shared" ref="F1628:F1691" si="101">IF(C1628="", "", IF(D1628="", "", (D1628-C1628)*24 - E1628))</f>
        <v>9</v>
      </c>
      <c r="H1628" s="91"/>
    </row>
    <row r="1629" spans="1:8" x14ac:dyDescent="0.25">
      <c r="A1629" s="11">
        <v>45610</v>
      </c>
      <c r="B1629" s="82" t="s">
        <v>9</v>
      </c>
      <c r="C1629" s="85">
        <v>0.25</v>
      </c>
      <c r="D1629" s="85">
        <v>0.64583333333333337</v>
      </c>
      <c r="E1629" s="13">
        <v>0.5</v>
      </c>
      <c r="F1629" s="14">
        <f t="shared" si="101"/>
        <v>9</v>
      </c>
      <c r="H1629" s="91"/>
    </row>
    <row r="1630" spans="1:8" x14ac:dyDescent="0.25">
      <c r="A1630" s="6">
        <v>45611</v>
      </c>
      <c r="B1630" s="87" t="s">
        <v>14</v>
      </c>
      <c r="C1630" s="85"/>
      <c r="D1630" s="85"/>
      <c r="E1630" s="13"/>
      <c r="F1630" s="14" t="str">
        <f t="shared" si="101"/>
        <v/>
      </c>
      <c r="H1630" s="91"/>
    </row>
    <row r="1631" spans="1:8" x14ac:dyDescent="0.25">
      <c r="A1631" s="11">
        <v>45612</v>
      </c>
      <c r="B1631" s="86"/>
      <c r="C1631" s="85"/>
      <c r="D1631" s="85"/>
      <c r="E1631" s="13"/>
      <c r="F1631" s="14" t="str">
        <f t="shared" si="101"/>
        <v/>
      </c>
      <c r="H1631" s="91"/>
    </row>
    <row r="1632" spans="1:8" x14ac:dyDescent="0.25">
      <c r="A1632" s="6">
        <v>45613</v>
      </c>
      <c r="B1632" s="87"/>
      <c r="C1632" s="85"/>
      <c r="D1632" s="85"/>
      <c r="E1632" s="13"/>
      <c r="F1632" s="14" t="str">
        <f t="shared" si="101"/>
        <v/>
      </c>
      <c r="H1632" s="92"/>
    </row>
    <row r="1633" spans="1:8" x14ac:dyDescent="0.25">
      <c r="A1633" s="11">
        <v>45614</v>
      </c>
      <c r="B1633" s="87" t="s">
        <v>8</v>
      </c>
      <c r="C1633" s="85"/>
      <c r="D1633" s="85"/>
      <c r="E1633" s="13"/>
      <c r="F1633" s="14" t="str">
        <f t="shared" si="101"/>
        <v/>
      </c>
      <c r="H1633" s="90">
        <f>SUM(F1633:G1639)</f>
        <v>0</v>
      </c>
    </row>
    <row r="1634" spans="1:8" x14ac:dyDescent="0.25">
      <c r="A1634" s="6">
        <v>45615</v>
      </c>
      <c r="B1634" s="87" t="s">
        <v>8</v>
      </c>
      <c r="C1634" s="85"/>
      <c r="D1634" s="85"/>
      <c r="E1634" s="13"/>
      <c r="F1634" s="14" t="str">
        <f t="shared" si="101"/>
        <v/>
      </c>
      <c r="H1634" s="91"/>
    </row>
    <row r="1635" spans="1:8" x14ac:dyDescent="0.25">
      <c r="A1635" s="11">
        <v>45616</v>
      </c>
      <c r="B1635" s="87" t="s">
        <v>8</v>
      </c>
      <c r="C1635" s="85"/>
      <c r="D1635" s="85"/>
      <c r="E1635" s="13"/>
      <c r="F1635" s="14" t="str">
        <f t="shared" si="101"/>
        <v/>
      </c>
      <c r="H1635" s="91"/>
    </row>
    <row r="1636" spans="1:8" x14ac:dyDescent="0.25">
      <c r="A1636" s="6">
        <v>45617</v>
      </c>
      <c r="B1636" s="87" t="s">
        <v>8</v>
      </c>
      <c r="C1636" s="85"/>
      <c r="D1636" s="85"/>
      <c r="E1636" s="13"/>
      <c r="F1636" s="14" t="str">
        <f t="shared" si="101"/>
        <v/>
      </c>
      <c r="H1636" s="91"/>
    </row>
    <row r="1637" spans="1:8" x14ac:dyDescent="0.25">
      <c r="A1637" s="11">
        <v>45618</v>
      </c>
      <c r="B1637" s="87" t="s">
        <v>8</v>
      </c>
      <c r="C1637" s="85"/>
      <c r="D1637" s="85"/>
      <c r="E1637" s="13"/>
      <c r="F1637" s="14" t="str">
        <f t="shared" si="101"/>
        <v/>
      </c>
      <c r="H1637" s="91"/>
    </row>
    <row r="1638" spans="1:8" x14ac:dyDescent="0.25">
      <c r="A1638" s="6">
        <v>45619</v>
      </c>
      <c r="B1638" s="87"/>
      <c r="C1638" s="85"/>
      <c r="D1638" s="85"/>
      <c r="E1638" s="13"/>
      <c r="F1638" s="14" t="str">
        <f t="shared" si="101"/>
        <v/>
      </c>
      <c r="H1638" s="91"/>
    </row>
    <row r="1639" spans="1:8" x14ac:dyDescent="0.25">
      <c r="A1639" s="11">
        <v>45620</v>
      </c>
      <c r="B1639" s="87"/>
      <c r="C1639" s="85"/>
      <c r="D1639" s="85"/>
      <c r="E1639" s="13"/>
      <c r="F1639" s="14" t="str">
        <f t="shared" si="101"/>
        <v/>
      </c>
      <c r="H1639" s="92"/>
    </row>
    <row r="1640" spans="1:8" x14ac:dyDescent="0.25">
      <c r="A1640" s="6">
        <v>45621</v>
      </c>
      <c r="B1640" s="87" t="s">
        <v>8</v>
      </c>
      <c r="C1640" s="85"/>
      <c r="D1640" s="85"/>
      <c r="E1640" s="13"/>
      <c r="F1640" s="14" t="str">
        <f t="shared" si="101"/>
        <v/>
      </c>
      <c r="H1640" s="90">
        <f>SUM(F1640:G1646)</f>
        <v>18</v>
      </c>
    </row>
    <row r="1641" spans="1:8" x14ac:dyDescent="0.25">
      <c r="A1641" s="11">
        <v>45622</v>
      </c>
      <c r="B1641" s="82" t="s">
        <v>9</v>
      </c>
      <c r="C1641" s="85">
        <v>0.25</v>
      </c>
      <c r="D1641" s="85">
        <v>0.64583333333333337</v>
      </c>
      <c r="E1641" s="13">
        <v>0.5</v>
      </c>
      <c r="F1641" s="14">
        <f t="shared" si="101"/>
        <v>9</v>
      </c>
      <c r="H1641" s="91"/>
    </row>
    <row r="1642" spans="1:8" x14ac:dyDescent="0.25">
      <c r="A1642" s="6">
        <v>45623</v>
      </c>
      <c r="B1642" s="82" t="s">
        <v>9</v>
      </c>
      <c r="C1642" s="85">
        <v>0.25</v>
      </c>
      <c r="D1642" s="85">
        <v>0.64583333333333337</v>
      </c>
      <c r="E1642" s="13">
        <v>0.5</v>
      </c>
      <c r="F1642" s="14">
        <f t="shared" si="101"/>
        <v>9</v>
      </c>
      <c r="H1642" s="91"/>
    </row>
    <row r="1643" spans="1:8" x14ac:dyDescent="0.25">
      <c r="A1643" s="11">
        <v>45624</v>
      </c>
      <c r="B1643" s="87" t="s">
        <v>8</v>
      </c>
      <c r="C1643" s="85"/>
      <c r="D1643" s="85"/>
      <c r="E1643" s="13"/>
      <c r="F1643" s="14" t="str">
        <f t="shared" si="101"/>
        <v/>
      </c>
      <c r="H1643" s="91"/>
    </row>
    <row r="1644" spans="1:8" x14ac:dyDescent="0.25">
      <c r="A1644" s="6">
        <v>45625</v>
      </c>
      <c r="B1644" s="87" t="s">
        <v>14</v>
      </c>
      <c r="C1644" s="85"/>
      <c r="D1644" s="85"/>
      <c r="E1644" s="13"/>
      <c r="F1644" s="14" t="str">
        <f t="shared" si="101"/>
        <v/>
      </c>
      <c r="H1644" s="91"/>
    </row>
    <row r="1645" spans="1:8" x14ac:dyDescent="0.25">
      <c r="A1645" s="11">
        <v>45626</v>
      </c>
      <c r="B1645" s="87"/>
      <c r="C1645" s="85"/>
      <c r="D1645" s="85"/>
      <c r="E1645" s="13"/>
      <c r="F1645" s="14" t="str">
        <f t="shared" si="101"/>
        <v/>
      </c>
      <c r="H1645" s="91"/>
    </row>
    <row r="1646" spans="1:8" x14ac:dyDescent="0.25">
      <c r="A1646" s="6">
        <v>45627</v>
      </c>
      <c r="B1646" s="87"/>
      <c r="C1646" s="85"/>
      <c r="D1646" s="85"/>
      <c r="E1646" s="13"/>
      <c r="F1646" s="14" t="str">
        <f t="shared" si="101"/>
        <v/>
      </c>
      <c r="H1646" s="92"/>
    </row>
    <row r="1647" spans="1:8" x14ac:dyDescent="0.25">
      <c r="A1647" s="11">
        <v>45628</v>
      </c>
      <c r="B1647" s="82" t="s">
        <v>9</v>
      </c>
      <c r="C1647" s="85">
        <v>0.25</v>
      </c>
      <c r="D1647" s="85">
        <v>0.64583333333333337</v>
      </c>
      <c r="E1647" s="13">
        <v>0.5</v>
      </c>
      <c r="F1647" s="14">
        <f t="shared" si="101"/>
        <v>9</v>
      </c>
      <c r="H1647" s="90">
        <f>SUM(F1647:G1653)</f>
        <v>36</v>
      </c>
    </row>
    <row r="1648" spans="1:8" x14ac:dyDescent="0.25">
      <c r="A1648" s="6">
        <v>45629</v>
      </c>
      <c r="B1648" s="82" t="s">
        <v>9</v>
      </c>
      <c r="C1648" s="85">
        <v>0.25</v>
      </c>
      <c r="D1648" s="85">
        <v>0.64583333333333337</v>
      </c>
      <c r="E1648" s="13">
        <v>0.5</v>
      </c>
      <c r="F1648" s="14">
        <f t="shared" si="101"/>
        <v>9</v>
      </c>
      <c r="H1648" s="91"/>
    </row>
    <row r="1649" spans="1:8" x14ac:dyDescent="0.25">
      <c r="A1649" s="11">
        <v>45630</v>
      </c>
      <c r="B1649" s="82" t="s">
        <v>9</v>
      </c>
      <c r="C1649" s="85">
        <v>0.25</v>
      </c>
      <c r="D1649" s="85">
        <v>0.64583333333333337</v>
      </c>
      <c r="E1649" s="13">
        <v>0.5</v>
      </c>
      <c r="F1649" s="14">
        <f t="shared" si="101"/>
        <v>9</v>
      </c>
      <c r="H1649" s="91"/>
    </row>
    <row r="1650" spans="1:8" x14ac:dyDescent="0.25">
      <c r="A1650" s="6">
        <v>45631</v>
      </c>
      <c r="B1650" s="82" t="s">
        <v>9</v>
      </c>
      <c r="C1650" s="85">
        <v>0.25</v>
      </c>
      <c r="D1650" s="85">
        <v>0.64583333333333337</v>
      </c>
      <c r="E1650" s="13">
        <v>0.5</v>
      </c>
      <c r="F1650" s="14">
        <f t="shared" si="101"/>
        <v>9</v>
      </c>
      <c r="H1650" s="91"/>
    </row>
    <row r="1651" spans="1:8" x14ac:dyDescent="0.25">
      <c r="A1651" s="11">
        <v>45632</v>
      </c>
      <c r="B1651" s="87" t="s">
        <v>14</v>
      </c>
      <c r="C1651" s="85"/>
      <c r="D1651" s="85"/>
      <c r="E1651" s="13"/>
      <c r="F1651" s="14" t="str">
        <f t="shared" si="101"/>
        <v/>
      </c>
      <c r="H1651" s="91"/>
    </row>
    <row r="1652" spans="1:8" x14ac:dyDescent="0.25">
      <c r="A1652" s="6">
        <v>45633</v>
      </c>
      <c r="B1652" s="87"/>
      <c r="C1652" s="85"/>
      <c r="D1652" s="85"/>
      <c r="E1652" s="13"/>
      <c r="F1652" s="14" t="str">
        <f t="shared" si="101"/>
        <v/>
      </c>
      <c r="H1652" s="91"/>
    </row>
    <row r="1653" spans="1:8" x14ac:dyDescent="0.25">
      <c r="A1653" s="11">
        <v>45634</v>
      </c>
      <c r="B1653" s="87"/>
      <c r="C1653" s="85"/>
      <c r="D1653" s="85"/>
      <c r="E1653" s="13"/>
      <c r="F1653" s="14" t="str">
        <f t="shared" si="101"/>
        <v/>
      </c>
      <c r="H1653" s="92"/>
    </row>
    <row r="1654" spans="1:8" x14ac:dyDescent="0.25">
      <c r="A1654" s="6">
        <v>45635</v>
      </c>
      <c r="B1654" s="82" t="s">
        <v>9</v>
      </c>
      <c r="C1654" s="85">
        <v>0.25</v>
      </c>
      <c r="D1654" s="85">
        <v>0.64583333333333337</v>
      </c>
      <c r="E1654" s="13">
        <v>0.5</v>
      </c>
      <c r="F1654" s="14">
        <f t="shared" si="101"/>
        <v>9</v>
      </c>
      <c r="H1654" s="90">
        <f>SUM(F1654:G1660)</f>
        <v>36</v>
      </c>
    </row>
    <row r="1655" spans="1:8" x14ac:dyDescent="0.25">
      <c r="A1655" s="11">
        <v>45636</v>
      </c>
      <c r="B1655" s="83" t="s">
        <v>12</v>
      </c>
      <c r="C1655" s="85">
        <v>0.25</v>
      </c>
      <c r="D1655" s="85">
        <v>0.64583333333333337</v>
      </c>
      <c r="E1655" s="13">
        <v>0.5</v>
      </c>
      <c r="F1655" s="14">
        <f t="shared" si="101"/>
        <v>9</v>
      </c>
      <c r="H1655" s="91"/>
    </row>
    <row r="1656" spans="1:8" x14ac:dyDescent="0.25">
      <c r="A1656" s="6">
        <v>45637</v>
      </c>
      <c r="B1656" s="82" t="s">
        <v>9</v>
      </c>
      <c r="C1656" s="85">
        <v>0.25</v>
      </c>
      <c r="D1656" s="85">
        <v>0.64583333333333337</v>
      </c>
      <c r="E1656" s="13">
        <v>0.5</v>
      </c>
      <c r="F1656" s="14">
        <f t="shared" si="101"/>
        <v>9</v>
      </c>
      <c r="H1656" s="91"/>
    </row>
    <row r="1657" spans="1:8" x14ac:dyDescent="0.25">
      <c r="A1657" s="11">
        <v>45638</v>
      </c>
      <c r="B1657" s="82" t="s">
        <v>9</v>
      </c>
      <c r="C1657" s="85">
        <v>0.25</v>
      </c>
      <c r="D1657" s="85">
        <v>0.64583333333333337</v>
      </c>
      <c r="E1657" s="13">
        <v>0.5</v>
      </c>
      <c r="F1657" s="14">
        <f t="shared" si="101"/>
        <v>9</v>
      </c>
      <c r="H1657" s="91"/>
    </row>
    <row r="1658" spans="1:8" x14ac:dyDescent="0.25">
      <c r="A1658" s="6">
        <v>45639</v>
      </c>
      <c r="B1658" s="87" t="s">
        <v>14</v>
      </c>
      <c r="C1658" s="85"/>
      <c r="D1658" s="85"/>
      <c r="E1658" s="13"/>
      <c r="F1658" s="14" t="str">
        <f t="shared" si="101"/>
        <v/>
      </c>
      <c r="H1658" s="91"/>
    </row>
    <row r="1659" spans="1:8" x14ac:dyDescent="0.25">
      <c r="A1659" s="11">
        <v>45640</v>
      </c>
      <c r="B1659" s="86"/>
      <c r="C1659" s="85"/>
      <c r="D1659" s="85"/>
      <c r="E1659" s="13"/>
      <c r="F1659" s="14" t="str">
        <f t="shared" si="101"/>
        <v/>
      </c>
      <c r="H1659" s="91"/>
    </row>
    <row r="1660" spans="1:8" x14ac:dyDescent="0.25">
      <c r="A1660" s="6">
        <v>45641</v>
      </c>
      <c r="B1660" s="87"/>
      <c r="C1660" s="85"/>
      <c r="D1660" s="85"/>
      <c r="E1660" s="13"/>
      <c r="F1660" s="14" t="str">
        <f t="shared" si="101"/>
        <v/>
      </c>
      <c r="H1660" s="92"/>
    </row>
    <row r="1661" spans="1:8" x14ac:dyDescent="0.25">
      <c r="A1661" s="11">
        <v>45642</v>
      </c>
      <c r="B1661" s="82" t="s">
        <v>9</v>
      </c>
      <c r="C1661" s="85">
        <v>0.25</v>
      </c>
      <c r="D1661" s="85">
        <v>0.64583333333333337</v>
      </c>
      <c r="E1661" s="13">
        <v>0.5</v>
      </c>
      <c r="F1661" s="14">
        <f t="shared" si="101"/>
        <v>9</v>
      </c>
      <c r="H1661" s="90">
        <f>SUM(F1661:G1667)</f>
        <v>36</v>
      </c>
    </row>
    <row r="1662" spans="1:8" x14ac:dyDescent="0.25">
      <c r="A1662" s="6">
        <v>45643</v>
      </c>
      <c r="B1662" s="82" t="s">
        <v>9</v>
      </c>
      <c r="C1662" s="85">
        <v>0.25</v>
      </c>
      <c r="D1662" s="85">
        <v>0.625</v>
      </c>
      <c r="E1662" s="13">
        <v>0.5</v>
      </c>
      <c r="F1662" s="14">
        <f t="shared" si="101"/>
        <v>8.5</v>
      </c>
      <c r="H1662" s="91"/>
    </row>
    <row r="1663" spans="1:8" x14ac:dyDescent="0.25">
      <c r="A1663" s="11">
        <v>45644</v>
      </c>
      <c r="B1663" s="82" t="s">
        <v>9</v>
      </c>
      <c r="C1663" s="85">
        <v>0.25</v>
      </c>
      <c r="D1663" s="85">
        <v>0.66666666666666663</v>
      </c>
      <c r="E1663" s="13">
        <v>0.5</v>
      </c>
      <c r="F1663" s="14">
        <f t="shared" si="101"/>
        <v>9.5</v>
      </c>
      <c r="H1663" s="91"/>
    </row>
    <row r="1664" spans="1:8" x14ac:dyDescent="0.25">
      <c r="A1664" s="6">
        <v>45645</v>
      </c>
      <c r="B1664" s="83" t="s">
        <v>12</v>
      </c>
      <c r="C1664" s="85">
        <v>0.25</v>
      </c>
      <c r="D1664" s="85">
        <v>0.64583333333333337</v>
      </c>
      <c r="E1664" s="13">
        <v>0.5</v>
      </c>
      <c r="F1664" s="14">
        <f t="shared" si="101"/>
        <v>9</v>
      </c>
      <c r="H1664" s="91"/>
    </row>
    <row r="1665" spans="1:8" x14ac:dyDescent="0.25">
      <c r="A1665" s="11">
        <v>45646</v>
      </c>
      <c r="B1665" s="87" t="s">
        <v>14</v>
      </c>
      <c r="C1665" s="85"/>
      <c r="D1665" s="85"/>
      <c r="E1665" s="13"/>
      <c r="F1665" s="14" t="str">
        <f t="shared" si="101"/>
        <v/>
      </c>
      <c r="H1665" s="91"/>
    </row>
    <row r="1666" spans="1:8" x14ac:dyDescent="0.25">
      <c r="A1666" s="6">
        <v>45647</v>
      </c>
      <c r="B1666" s="7"/>
      <c r="C1666" s="85"/>
      <c r="D1666" s="85"/>
      <c r="E1666" s="13"/>
      <c r="F1666" s="14" t="str">
        <f t="shared" si="101"/>
        <v/>
      </c>
      <c r="H1666" s="91"/>
    </row>
    <row r="1667" spans="1:8" x14ac:dyDescent="0.25">
      <c r="A1667" s="11">
        <v>45648</v>
      </c>
      <c r="B1667" s="35"/>
      <c r="C1667" s="85"/>
      <c r="D1667" s="85"/>
      <c r="E1667" s="13"/>
      <c r="F1667" s="14" t="str">
        <f t="shared" si="101"/>
        <v/>
      </c>
      <c r="H1667" s="92"/>
    </row>
    <row r="1668" spans="1:8" x14ac:dyDescent="0.25">
      <c r="A1668" s="6">
        <v>45649</v>
      </c>
      <c r="B1668" s="82" t="s">
        <v>9</v>
      </c>
      <c r="C1668" s="85">
        <v>0.25</v>
      </c>
      <c r="D1668" s="85">
        <v>0.64583333333333337</v>
      </c>
      <c r="E1668" s="13">
        <v>0.5</v>
      </c>
      <c r="F1668" s="14">
        <f t="shared" si="101"/>
        <v>9</v>
      </c>
      <c r="G1668">
        <v>1</v>
      </c>
      <c r="H1668" s="90">
        <f>SUM(F1668:G1674)</f>
        <v>57</v>
      </c>
    </row>
    <row r="1669" spans="1:8" x14ac:dyDescent="0.25">
      <c r="A1669" s="11">
        <v>45650</v>
      </c>
      <c r="B1669" s="82" t="s">
        <v>9</v>
      </c>
      <c r="C1669" s="85">
        <v>0.25</v>
      </c>
      <c r="D1669" s="85">
        <v>0.64583333333333337</v>
      </c>
      <c r="E1669" s="13">
        <v>0.5</v>
      </c>
      <c r="F1669" s="14">
        <f t="shared" si="101"/>
        <v>9</v>
      </c>
      <c r="G1669">
        <v>1</v>
      </c>
      <c r="H1669" s="91"/>
    </row>
    <row r="1670" spans="1:8" x14ac:dyDescent="0.25">
      <c r="A1670" s="6">
        <v>45651</v>
      </c>
      <c r="B1670" s="7" t="s">
        <v>13</v>
      </c>
      <c r="C1670" s="85">
        <v>0.25</v>
      </c>
      <c r="D1670" s="85">
        <v>0.64583333333333337</v>
      </c>
      <c r="E1670" s="13">
        <v>0.5</v>
      </c>
      <c r="F1670" s="14">
        <f t="shared" si="101"/>
        <v>9</v>
      </c>
      <c r="H1670" s="91"/>
    </row>
    <row r="1671" spans="1:8" x14ac:dyDescent="0.25">
      <c r="A1671" s="11">
        <v>45652</v>
      </c>
      <c r="B1671" s="7" t="s">
        <v>13</v>
      </c>
      <c r="C1671" s="85">
        <v>0.25</v>
      </c>
      <c r="D1671" s="85">
        <v>0.64583333333333337</v>
      </c>
      <c r="E1671" s="13">
        <v>0.5</v>
      </c>
      <c r="F1671" s="14">
        <f t="shared" si="101"/>
        <v>9</v>
      </c>
      <c r="H1671" s="91"/>
    </row>
    <row r="1672" spans="1:8" x14ac:dyDescent="0.25">
      <c r="A1672" s="6">
        <v>45653</v>
      </c>
      <c r="B1672" s="87" t="s">
        <v>14</v>
      </c>
      <c r="C1672" s="85"/>
      <c r="D1672" s="85"/>
      <c r="E1672" s="13"/>
      <c r="F1672" s="14" t="str">
        <f t="shared" si="101"/>
        <v/>
      </c>
      <c r="H1672" s="91"/>
    </row>
    <row r="1673" spans="1:8" x14ac:dyDescent="0.25">
      <c r="A1673" s="11">
        <v>45654</v>
      </c>
      <c r="B1673" s="7" t="s">
        <v>15</v>
      </c>
      <c r="C1673" s="85">
        <v>0.25</v>
      </c>
      <c r="D1673" s="85">
        <v>0.64583333333333337</v>
      </c>
      <c r="E1673" s="13">
        <v>0.5</v>
      </c>
      <c r="F1673" s="14">
        <f t="shared" si="101"/>
        <v>9</v>
      </c>
      <c r="H1673" s="91"/>
    </row>
    <row r="1674" spans="1:8" x14ac:dyDescent="0.25">
      <c r="A1674" s="6">
        <v>45655</v>
      </c>
      <c r="B1674" s="35" t="s">
        <v>15</v>
      </c>
      <c r="C1674" s="85">
        <v>0.25</v>
      </c>
      <c r="D1674" s="85">
        <v>0.64583333333333337</v>
      </c>
      <c r="E1674" s="13">
        <v>0.5</v>
      </c>
      <c r="F1674" s="14">
        <f t="shared" si="101"/>
        <v>9</v>
      </c>
      <c r="G1674">
        <v>1</v>
      </c>
      <c r="H1674" s="92"/>
    </row>
    <row r="1675" spans="1:8" x14ac:dyDescent="0.25">
      <c r="A1675" s="11">
        <v>45656</v>
      </c>
      <c r="B1675" s="82" t="s">
        <v>9</v>
      </c>
      <c r="C1675" s="85">
        <v>0.25</v>
      </c>
      <c r="D1675" s="85">
        <v>0.64583333333333337</v>
      </c>
      <c r="E1675" s="13">
        <v>0.5</v>
      </c>
      <c r="F1675" s="14">
        <f t="shared" si="101"/>
        <v>9</v>
      </c>
      <c r="H1675" s="90">
        <f>SUM(F1675:G1681)</f>
        <v>58</v>
      </c>
    </row>
    <row r="1676" spans="1:8" x14ac:dyDescent="0.25">
      <c r="A1676" s="6">
        <v>45657</v>
      </c>
      <c r="B1676" s="82" t="s">
        <v>9</v>
      </c>
      <c r="C1676" s="85">
        <v>0.25</v>
      </c>
      <c r="D1676" s="85">
        <v>0.64583333333333337</v>
      </c>
      <c r="E1676" s="13">
        <v>0.5</v>
      </c>
      <c r="F1676" s="14">
        <f t="shared" si="101"/>
        <v>9</v>
      </c>
      <c r="H1676" s="91"/>
    </row>
    <row r="1677" spans="1:8" x14ac:dyDescent="0.25">
      <c r="A1677" s="53">
        <v>45658</v>
      </c>
      <c r="B1677" s="7" t="s">
        <v>13</v>
      </c>
      <c r="C1677" s="85">
        <v>0.25</v>
      </c>
      <c r="D1677" s="85">
        <v>0.64583333333333337</v>
      </c>
      <c r="E1677" s="13">
        <v>0.5</v>
      </c>
      <c r="F1677" s="14">
        <f t="shared" si="101"/>
        <v>9</v>
      </c>
      <c r="G1677">
        <v>1</v>
      </c>
      <c r="H1677" s="91"/>
    </row>
    <row r="1678" spans="1:8" x14ac:dyDescent="0.25">
      <c r="A1678" s="6">
        <v>45659</v>
      </c>
      <c r="B1678" s="82" t="s">
        <v>9</v>
      </c>
      <c r="C1678" s="85">
        <v>0.25</v>
      </c>
      <c r="D1678" s="85">
        <v>0.64583333333333337</v>
      </c>
      <c r="E1678" s="13">
        <v>0.5</v>
      </c>
      <c r="F1678" s="14">
        <f t="shared" si="101"/>
        <v>9</v>
      </c>
      <c r="G1678">
        <v>2</v>
      </c>
      <c r="H1678" s="91"/>
    </row>
    <row r="1679" spans="1:8" x14ac:dyDescent="0.25">
      <c r="A1679" s="11">
        <v>45660</v>
      </c>
      <c r="B1679" s="87" t="s">
        <v>14</v>
      </c>
      <c r="C1679" s="85"/>
      <c r="D1679" s="85"/>
      <c r="E1679" s="13"/>
      <c r="F1679" s="14" t="str">
        <f t="shared" si="101"/>
        <v/>
      </c>
      <c r="H1679" s="91"/>
    </row>
    <row r="1680" spans="1:8" x14ac:dyDescent="0.25">
      <c r="A1680" s="6">
        <v>45661</v>
      </c>
      <c r="B1680" s="7" t="s">
        <v>15</v>
      </c>
      <c r="C1680" s="85">
        <v>0.25</v>
      </c>
      <c r="D1680" s="85">
        <v>0.64583333333333337</v>
      </c>
      <c r="E1680" s="13">
        <v>0.5</v>
      </c>
      <c r="F1680" s="14">
        <f t="shared" si="101"/>
        <v>9</v>
      </c>
      <c r="G1680">
        <v>1</v>
      </c>
      <c r="H1680" s="91"/>
    </row>
    <row r="1681" spans="1:8" x14ac:dyDescent="0.25">
      <c r="A1681" s="11">
        <v>45662</v>
      </c>
      <c r="B1681" s="35" t="s">
        <v>15</v>
      </c>
      <c r="C1681" s="85">
        <v>0.25</v>
      </c>
      <c r="D1681" s="85">
        <v>0.64583333333333337</v>
      </c>
      <c r="E1681" s="13">
        <v>0.5</v>
      </c>
      <c r="F1681" s="14">
        <f t="shared" si="101"/>
        <v>9</v>
      </c>
      <c r="H1681" s="92"/>
    </row>
    <row r="1682" spans="1:8" x14ac:dyDescent="0.25">
      <c r="A1682" s="6">
        <v>45663</v>
      </c>
      <c r="B1682" s="82" t="s">
        <v>9</v>
      </c>
      <c r="C1682" s="85">
        <v>0.25</v>
      </c>
      <c r="D1682" s="85">
        <v>0.64583333333333337</v>
      </c>
      <c r="E1682" s="13">
        <v>0.5</v>
      </c>
      <c r="F1682" s="14">
        <f t="shared" si="101"/>
        <v>9</v>
      </c>
      <c r="G1682">
        <v>2</v>
      </c>
      <c r="H1682" s="90">
        <f>SUM(F1682:G1688)</f>
        <v>58</v>
      </c>
    </row>
    <row r="1683" spans="1:8" x14ac:dyDescent="0.25">
      <c r="A1683" s="11">
        <v>45664</v>
      </c>
      <c r="B1683" s="82" t="s">
        <v>9</v>
      </c>
      <c r="C1683" s="85">
        <v>0.25</v>
      </c>
      <c r="D1683" s="85">
        <v>0.64583333333333337</v>
      </c>
      <c r="E1683" s="13">
        <v>0.5</v>
      </c>
      <c r="F1683" s="14">
        <f t="shared" si="101"/>
        <v>9</v>
      </c>
      <c r="G1683">
        <v>2</v>
      </c>
      <c r="H1683" s="91"/>
    </row>
    <row r="1684" spans="1:8" x14ac:dyDescent="0.25">
      <c r="A1684" s="6">
        <v>45665</v>
      </c>
      <c r="B1684" s="83" t="s">
        <v>12</v>
      </c>
      <c r="C1684" s="85">
        <v>0.25</v>
      </c>
      <c r="D1684" s="85">
        <v>0.64583333333333337</v>
      </c>
      <c r="E1684" s="13">
        <v>0.5</v>
      </c>
      <c r="F1684" s="14">
        <f t="shared" si="101"/>
        <v>9</v>
      </c>
      <c r="H1684" s="91"/>
    </row>
    <row r="1685" spans="1:8" x14ac:dyDescent="0.25">
      <c r="A1685" s="11">
        <v>45666</v>
      </c>
      <c r="B1685" s="82" t="s">
        <v>9</v>
      </c>
      <c r="C1685" s="85">
        <v>0.25</v>
      </c>
      <c r="D1685" s="85">
        <v>0.64583333333333337</v>
      </c>
      <c r="E1685" s="13">
        <v>0.5</v>
      </c>
      <c r="F1685" s="14">
        <f t="shared" si="101"/>
        <v>9</v>
      </c>
      <c r="H1685" s="91"/>
    </row>
    <row r="1686" spans="1:8" x14ac:dyDescent="0.25">
      <c r="A1686" s="6">
        <v>45667</v>
      </c>
      <c r="B1686" s="87" t="s">
        <v>14</v>
      </c>
      <c r="C1686" s="85"/>
      <c r="D1686" s="85"/>
      <c r="E1686" s="13"/>
      <c r="F1686" s="14" t="str">
        <f t="shared" si="101"/>
        <v/>
      </c>
      <c r="H1686" s="91"/>
    </row>
    <row r="1687" spans="1:8" x14ac:dyDescent="0.25">
      <c r="A1687" s="11">
        <v>45668</v>
      </c>
      <c r="B1687" s="7" t="s">
        <v>15</v>
      </c>
      <c r="C1687" s="85">
        <v>0.25</v>
      </c>
      <c r="D1687" s="85">
        <v>0.64583333333333337</v>
      </c>
      <c r="E1687" s="13">
        <v>0.5</v>
      </c>
      <c r="F1687" s="14">
        <f t="shared" si="101"/>
        <v>9</v>
      </c>
      <c r="H1687" s="91"/>
    </row>
    <row r="1688" spans="1:8" x14ac:dyDescent="0.25">
      <c r="A1688" s="6">
        <v>45669</v>
      </c>
      <c r="B1688" s="35" t="s">
        <v>15</v>
      </c>
      <c r="C1688" s="85">
        <v>0.25</v>
      </c>
      <c r="D1688" s="85">
        <v>0.64583333333333337</v>
      </c>
      <c r="E1688" s="13">
        <v>0.5</v>
      </c>
      <c r="F1688" s="14">
        <f t="shared" si="101"/>
        <v>9</v>
      </c>
      <c r="H1688" s="92"/>
    </row>
    <row r="1689" spans="1:8" x14ac:dyDescent="0.25">
      <c r="A1689" s="11">
        <v>45670</v>
      </c>
      <c r="B1689" s="82" t="s">
        <v>9</v>
      </c>
      <c r="C1689" s="85">
        <v>0.25</v>
      </c>
      <c r="D1689" s="85">
        <v>0.64583333333333337</v>
      </c>
      <c r="E1689" s="13">
        <v>0.5</v>
      </c>
      <c r="F1689" s="14">
        <f t="shared" si="101"/>
        <v>9</v>
      </c>
      <c r="H1689" s="90">
        <f>SUM(F1689:G1695)</f>
        <v>36</v>
      </c>
    </row>
    <row r="1690" spans="1:8" x14ac:dyDescent="0.25">
      <c r="A1690" s="6">
        <v>45671</v>
      </c>
      <c r="B1690" s="82" t="s">
        <v>9</v>
      </c>
      <c r="C1690" s="85">
        <v>0.25</v>
      </c>
      <c r="D1690" s="85">
        <v>0.64583333333333337</v>
      </c>
      <c r="E1690" s="13">
        <v>0.5</v>
      </c>
      <c r="F1690" s="14">
        <f t="shared" si="101"/>
        <v>9</v>
      </c>
      <c r="H1690" s="91"/>
    </row>
    <row r="1691" spans="1:8" x14ac:dyDescent="0.25">
      <c r="A1691" s="11">
        <v>45672</v>
      </c>
      <c r="B1691" s="83" t="s">
        <v>12</v>
      </c>
      <c r="C1691" s="85">
        <v>0.25</v>
      </c>
      <c r="D1691" s="85">
        <v>0.64583333333333337</v>
      </c>
      <c r="E1691" s="13">
        <v>0.5</v>
      </c>
      <c r="F1691" s="14">
        <f t="shared" si="101"/>
        <v>9</v>
      </c>
      <c r="H1691" s="91"/>
    </row>
    <row r="1692" spans="1:8" x14ac:dyDescent="0.25">
      <c r="A1692" s="6">
        <v>45673</v>
      </c>
      <c r="B1692" s="82" t="s">
        <v>9</v>
      </c>
      <c r="C1692" s="85">
        <v>0.25</v>
      </c>
      <c r="D1692" s="85">
        <v>0.64583333333333337</v>
      </c>
      <c r="E1692" s="13">
        <v>0.5</v>
      </c>
      <c r="F1692" s="14">
        <f t="shared" ref="F1692:F1755" si="102">IF(C1692="", "", IF(D1692="", "", (D1692-C1692)*24 - E1692))</f>
        <v>9</v>
      </c>
      <c r="H1692" s="91"/>
    </row>
    <row r="1693" spans="1:8" x14ac:dyDescent="0.25">
      <c r="A1693" s="11">
        <v>45674</v>
      </c>
      <c r="B1693" s="87" t="s">
        <v>14</v>
      </c>
      <c r="C1693" s="85"/>
      <c r="D1693" s="85"/>
      <c r="E1693" s="13"/>
      <c r="F1693" s="14" t="str">
        <f t="shared" si="102"/>
        <v/>
      </c>
      <c r="H1693" s="91"/>
    </row>
    <row r="1694" spans="1:8" x14ac:dyDescent="0.25">
      <c r="A1694" s="6">
        <v>45675</v>
      </c>
      <c r="B1694" s="87"/>
      <c r="C1694" s="85"/>
      <c r="D1694" s="85"/>
      <c r="E1694" s="13"/>
      <c r="F1694" s="14" t="str">
        <f t="shared" si="102"/>
        <v/>
      </c>
      <c r="H1694" s="91"/>
    </row>
    <row r="1695" spans="1:8" x14ac:dyDescent="0.25">
      <c r="A1695" s="11">
        <v>45676</v>
      </c>
      <c r="B1695" s="87"/>
      <c r="C1695" s="85"/>
      <c r="D1695" s="85"/>
      <c r="E1695" s="13"/>
      <c r="F1695" s="14" t="str">
        <f t="shared" si="102"/>
        <v/>
      </c>
      <c r="H1695" s="92"/>
    </row>
    <row r="1696" spans="1:8" x14ac:dyDescent="0.25">
      <c r="A1696" s="6">
        <v>45677</v>
      </c>
      <c r="B1696" s="82" t="s">
        <v>9</v>
      </c>
      <c r="C1696" s="85">
        <v>0.25</v>
      </c>
      <c r="D1696" s="85">
        <v>0.64583333333333337</v>
      </c>
      <c r="E1696" s="13">
        <v>0.5</v>
      </c>
      <c r="F1696" s="14">
        <f t="shared" si="102"/>
        <v>9</v>
      </c>
      <c r="H1696" s="90">
        <f>SUM(F1696:G1702)</f>
        <v>36</v>
      </c>
    </row>
    <row r="1697" spans="1:8" x14ac:dyDescent="0.25">
      <c r="A1697" s="11">
        <v>45678</v>
      </c>
      <c r="B1697" s="82" t="s">
        <v>9</v>
      </c>
      <c r="C1697" s="85">
        <v>0.25</v>
      </c>
      <c r="D1697" s="85">
        <v>0.64583333333333337</v>
      </c>
      <c r="E1697" s="13">
        <v>0.5</v>
      </c>
      <c r="F1697" s="14">
        <f t="shared" si="102"/>
        <v>9</v>
      </c>
      <c r="H1697" s="91"/>
    </row>
    <row r="1698" spans="1:8" x14ac:dyDescent="0.25">
      <c r="A1698" s="6">
        <v>45679</v>
      </c>
      <c r="B1698" s="83" t="s">
        <v>12</v>
      </c>
      <c r="C1698" s="85">
        <v>0.25</v>
      </c>
      <c r="D1698" s="85">
        <v>0.64583333333333337</v>
      </c>
      <c r="E1698" s="13">
        <v>0.5</v>
      </c>
      <c r="F1698" s="14">
        <f t="shared" si="102"/>
        <v>9</v>
      </c>
      <c r="H1698" s="91"/>
    </row>
    <row r="1699" spans="1:8" x14ac:dyDescent="0.25">
      <c r="A1699" s="11">
        <v>45680</v>
      </c>
      <c r="B1699" s="82" t="s">
        <v>9</v>
      </c>
      <c r="C1699" s="85">
        <v>0.25</v>
      </c>
      <c r="D1699" s="85">
        <v>0.64583333333333337</v>
      </c>
      <c r="E1699" s="13">
        <v>0.5</v>
      </c>
      <c r="F1699" s="14">
        <f t="shared" si="102"/>
        <v>9</v>
      </c>
      <c r="H1699" s="91"/>
    </row>
    <row r="1700" spans="1:8" x14ac:dyDescent="0.25">
      <c r="A1700" s="6">
        <v>45681</v>
      </c>
      <c r="B1700" s="87" t="s">
        <v>14</v>
      </c>
      <c r="C1700" s="85"/>
      <c r="D1700" s="85"/>
      <c r="E1700" s="13"/>
      <c r="F1700" s="14" t="str">
        <f t="shared" si="102"/>
        <v/>
      </c>
      <c r="H1700" s="91"/>
    </row>
    <row r="1701" spans="1:8" x14ac:dyDescent="0.25">
      <c r="A1701" s="11">
        <v>45682</v>
      </c>
      <c r="B1701" s="87"/>
      <c r="C1701" s="85"/>
      <c r="D1701" s="85"/>
      <c r="E1701" s="13"/>
      <c r="F1701" s="14" t="str">
        <f t="shared" si="102"/>
        <v/>
      </c>
      <c r="H1701" s="91"/>
    </row>
    <row r="1702" spans="1:8" x14ac:dyDescent="0.25">
      <c r="A1702" s="6">
        <v>45683</v>
      </c>
      <c r="B1702" s="87"/>
      <c r="C1702" s="85"/>
      <c r="D1702" s="85"/>
      <c r="E1702" s="13"/>
      <c r="F1702" s="14" t="str">
        <f t="shared" si="102"/>
        <v/>
      </c>
      <c r="H1702" s="92"/>
    </row>
    <row r="1703" spans="1:8" x14ac:dyDescent="0.25">
      <c r="A1703" s="11">
        <v>45684</v>
      </c>
      <c r="B1703" s="82" t="s">
        <v>9</v>
      </c>
      <c r="C1703" s="85">
        <v>0.25</v>
      </c>
      <c r="D1703" s="85">
        <v>0.64583333333333337</v>
      </c>
      <c r="E1703" s="13">
        <v>0.5</v>
      </c>
      <c r="F1703" s="14">
        <f t="shared" si="102"/>
        <v>9</v>
      </c>
      <c r="H1703" s="90">
        <f>SUM(F1703:G1709)</f>
        <v>36</v>
      </c>
    </row>
    <row r="1704" spans="1:8" x14ac:dyDescent="0.25">
      <c r="A1704" s="6">
        <v>45685</v>
      </c>
      <c r="B1704" s="82" t="s">
        <v>9</v>
      </c>
      <c r="C1704" s="85">
        <v>0.25</v>
      </c>
      <c r="D1704" s="85">
        <v>0.64583333333333337</v>
      </c>
      <c r="E1704" s="13">
        <v>0.5</v>
      </c>
      <c r="F1704" s="14">
        <f t="shared" si="102"/>
        <v>9</v>
      </c>
      <c r="H1704" s="91"/>
    </row>
    <row r="1705" spans="1:8" x14ac:dyDescent="0.25">
      <c r="A1705" s="11">
        <v>45686</v>
      </c>
      <c r="B1705" s="83" t="s">
        <v>12</v>
      </c>
      <c r="C1705" s="85">
        <v>0.25</v>
      </c>
      <c r="D1705" s="85">
        <v>0.64583333333333337</v>
      </c>
      <c r="E1705" s="13">
        <v>0.5</v>
      </c>
      <c r="F1705" s="14">
        <f t="shared" si="102"/>
        <v>9</v>
      </c>
      <c r="H1705" s="91"/>
    </row>
    <row r="1706" spans="1:8" x14ac:dyDescent="0.25">
      <c r="A1706" s="6">
        <v>45687</v>
      </c>
      <c r="B1706" s="82" t="s">
        <v>9</v>
      </c>
      <c r="C1706" s="85">
        <v>0.25</v>
      </c>
      <c r="D1706" s="85">
        <v>0.64583333333333337</v>
      </c>
      <c r="E1706" s="13">
        <v>0.5</v>
      </c>
      <c r="F1706" s="14">
        <f t="shared" si="102"/>
        <v>9</v>
      </c>
      <c r="H1706" s="91"/>
    </row>
    <row r="1707" spans="1:8" x14ac:dyDescent="0.25">
      <c r="A1707" s="11">
        <v>45688</v>
      </c>
      <c r="B1707" s="87" t="s">
        <v>14</v>
      </c>
      <c r="C1707" s="85"/>
      <c r="D1707" s="85"/>
      <c r="E1707" s="13"/>
      <c r="F1707" s="14" t="str">
        <f t="shared" si="102"/>
        <v/>
      </c>
      <c r="H1707" s="91"/>
    </row>
    <row r="1708" spans="1:8" x14ac:dyDescent="0.25">
      <c r="A1708" s="6">
        <v>45689</v>
      </c>
      <c r="B1708" s="87"/>
      <c r="C1708" s="85"/>
      <c r="D1708" s="85"/>
      <c r="E1708" s="13"/>
      <c r="F1708" s="14" t="str">
        <f t="shared" si="102"/>
        <v/>
      </c>
      <c r="H1708" s="91"/>
    </row>
    <row r="1709" spans="1:8" x14ac:dyDescent="0.25">
      <c r="A1709" s="11">
        <v>45690</v>
      </c>
      <c r="B1709" s="87"/>
      <c r="C1709" s="85"/>
      <c r="D1709" s="85"/>
      <c r="E1709" s="13"/>
      <c r="F1709" s="14" t="str">
        <f t="shared" si="102"/>
        <v/>
      </c>
      <c r="H1709" s="92"/>
    </row>
    <row r="1710" spans="1:8" x14ac:dyDescent="0.25">
      <c r="A1710" s="6">
        <v>45691</v>
      </c>
      <c r="B1710" s="82" t="s">
        <v>9</v>
      </c>
      <c r="C1710" s="85">
        <v>0.25</v>
      </c>
      <c r="D1710" s="85">
        <v>0.64583333333333337</v>
      </c>
      <c r="E1710" s="13">
        <v>0.5</v>
      </c>
      <c r="F1710" s="14">
        <f t="shared" si="102"/>
        <v>9</v>
      </c>
      <c r="H1710" s="90">
        <f>SUM(F1710:G1716)</f>
        <v>36</v>
      </c>
    </row>
    <row r="1711" spans="1:8" x14ac:dyDescent="0.25">
      <c r="A1711" s="11">
        <v>45692</v>
      </c>
      <c r="B1711" s="83" t="s">
        <v>12</v>
      </c>
      <c r="C1711" s="85">
        <v>0.25</v>
      </c>
      <c r="D1711" s="85">
        <v>0.64583333333333337</v>
      </c>
      <c r="E1711" s="13">
        <v>0.5</v>
      </c>
      <c r="F1711" s="14">
        <f t="shared" si="102"/>
        <v>9</v>
      </c>
      <c r="H1711" s="91"/>
    </row>
    <row r="1712" spans="1:8" x14ac:dyDescent="0.25">
      <c r="A1712" s="6">
        <v>45693</v>
      </c>
      <c r="B1712" s="82" t="s">
        <v>9</v>
      </c>
      <c r="C1712" s="85">
        <v>0.25</v>
      </c>
      <c r="D1712" s="85">
        <v>0.64583333333333337</v>
      </c>
      <c r="E1712" s="13">
        <v>0.5</v>
      </c>
      <c r="F1712" s="14">
        <f t="shared" si="102"/>
        <v>9</v>
      </c>
      <c r="H1712" s="91"/>
    </row>
    <row r="1713" spans="1:8" x14ac:dyDescent="0.25">
      <c r="A1713" s="11">
        <v>45694</v>
      </c>
      <c r="B1713" s="82" t="s">
        <v>9</v>
      </c>
      <c r="C1713" s="85">
        <v>0.25</v>
      </c>
      <c r="D1713" s="85">
        <v>0.64583333333333337</v>
      </c>
      <c r="E1713" s="13">
        <v>0.5</v>
      </c>
      <c r="F1713" s="14">
        <f t="shared" si="102"/>
        <v>9</v>
      </c>
      <c r="H1713" s="91"/>
    </row>
    <row r="1714" spans="1:8" x14ac:dyDescent="0.25">
      <c r="A1714" s="6">
        <v>45695</v>
      </c>
      <c r="B1714" s="87" t="s">
        <v>14</v>
      </c>
      <c r="C1714" s="85"/>
      <c r="D1714" s="85"/>
      <c r="E1714" s="13"/>
      <c r="F1714" s="14" t="str">
        <f t="shared" si="102"/>
        <v/>
      </c>
      <c r="H1714" s="91"/>
    </row>
    <row r="1715" spans="1:8" x14ac:dyDescent="0.25">
      <c r="A1715" s="11">
        <v>45696</v>
      </c>
      <c r="B1715" s="87"/>
      <c r="C1715" s="85"/>
      <c r="D1715" s="85"/>
      <c r="E1715" s="13"/>
      <c r="F1715" s="14" t="str">
        <f t="shared" si="102"/>
        <v/>
      </c>
      <c r="H1715" s="91"/>
    </row>
    <row r="1716" spans="1:8" x14ac:dyDescent="0.25">
      <c r="A1716" s="6">
        <v>45697</v>
      </c>
      <c r="B1716" s="87"/>
      <c r="C1716" s="85"/>
      <c r="D1716" s="85"/>
      <c r="E1716" s="13"/>
      <c r="F1716" s="14" t="str">
        <f t="shared" si="102"/>
        <v/>
      </c>
      <c r="H1716" s="92"/>
    </row>
    <row r="1717" spans="1:8" x14ac:dyDescent="0.25">
      <c r="A1717" s="11">
        <v>45698</v>
      </c>
      <c r="B1717" s="82" t="s">
        <v>9</v>
      </c>
      <c r="C1717" s="85">
        <v>0.25</v>
      </c>
      <c r="D1717" s="85">
        <v>0.64583333333333337</v>
      </c>
      <c r="E1717" s="13">
        <v>0.5</v>
      </c>
      <c r="F1717" s="14">
        <f t="shared" si="102"/>
        <v>9</v>
      </c>
      <c r="H1717" s="90">
        <f>SUM(F1717:G1723)</f>
        <v>36</v>
      </c>
    </row>
    <row r="1718" spans="1:8" x14ac:dyDescent="0.25">
      <c r="A1718" s="6">
        <v>45699</v>
      </c>
      <c r="B1718" s="82" t="s">
        <v>9</v>
      </c>
      <c r="C1718" s="85">
        <v>0.25</v>
      </c>
      <c r="D1718" s="85">
        <v>0.64583333333333337</v>
      </c>
      <c r="E1718" s="13">
        <v>0.5</v>
      </c>
      <c r="F1718" s="14">
        <f t="shared" si="102"/>
        <v>9</v>
      </c>
      <c r="H1718" s="91"/>
    </row>
    <row r="1719" spans="1:8" x14ac:dyDescent="0.25">
      <c r="A1719" s="11">
        <v>45700</v>
      </c>
      <c r="B1719" s="83" t="s">
        <v>12</v>
      </c>
      <c r="C1719" s="85">
        <v>0.25</v>
      </c>
      <c r="D1719" s="85">
        <v>0.64583333333333337</v>
      </c>
      <c r="E1719" s="13">
        <v>0.5</v>
      </c>
      <c r="F1719" s="14">
        <f t="shared" si="102"/>
        <v>9</v>
      </c>
      <c r="H1719" s="91"/>
    </row>
    <row r="1720" spans="1:8" x14ac:dyDescent="0.25">
      <c r="A1720" s="6">
        <v>45701</v>
      </c>
      <c r="B1720" s="82" t="s">
        <v>9</v>
      </c>
      <c r="C1720" s="85">
        <v>0.25</v>
      </c>
      <c r="D1720" s="85">
        <v>0.64583333333333337</v>
      </c>
      <c r="E1720" s="13">
        <v>0.5</v>
      </c>
      <c r="F1720" s="14">
        <f t="shared" si="102"/>
        <v>9</v>
      </c>
      <c r="H1720" s="91"/>
    </row>
    <row r="1721" spans="1:8" x14ac:dyDescent="0.25">
      <c r="A1721" s="11">
        <v>45702</v>
      </c>
      <c r="B1721" s="87" t="s">
        <v>14</v>
      </c>
      <c r="C1721" s="85"/>
      <c r="D1721" s="85"/>
      <c r="E1721" s="13"/>
      <c r="F1721" s="14" t="str">
        <f t="shared" si="102"/>
        <v/>
      </c>
      <c r="H1721" s="91"/>
    </row>
    <row r="1722" spans="1:8" x14ac:dyDescent="0.25">
      <c r="A1722" s="6">
        <v>45703</v>
      </c>
      <c r="B1722" s="87"/>
      <c r="C1722" s="85"/>
      <c r="D1722" s="85"/>
      <c r="E1722" s="13"/>
      <c r="F1722" s="14" t="str">
        <f t="shared" si="102"/>
        <v/>
      </c>
      <c r="H1722" s="91"/>
    </row>
    <row r="1723" spans="1:8" x14ac:dyDescent="0.25">
      <c r="A1723" s="11">
        <v>45704</v>
      </c>
      <c r="B1723" s="87"/>
      <c r="C1723" s="85"/>
      <c r="D1723" s="85"/>
      <c r="E1723" s="13"/>
      <c r="F1723" s="14" t="str">
        <f t="shared" si="102"/>
        <v/>
      </c>
      <c r="H1723" s="92"/>
    </row>
    <row r="1724" spans="1:8" x14ac:dyDescent="0.25">
      <c r="A1724" s="6">
        <v>45705</v>
      </c>
      <c r="B1724" s="87" t="s">
        <v>8</v>
      </c>
      <c r="C1724" s="85"/>
      <c r="D1724" s="85"/>
      <c r="E1724" s="13"/>
      <c r="F1724" s="14" t="str">
        <f t="shared" si="102"/>
        <v/>
      </c>
      <c r="H1724" s="90">
        <f t="shared" ref="H1724" si="103">SUM(F1724:G1730)</f>
        <v>0</v>
      </c>
    </row>
    <row r="1725" spans="1:8" x14ac:dyDescent="0.25">
      <c r="A1725" s="11">
        <v>45706</v>
      </c>
      <c r="B1725" s="87" t="s">
        <v>8</v>
      </c>
      <c r="C1725" s="85"/>
      <c r="D1725" s="85"/>
      <c r="E1725" s="13"/>
      <c r="F1725" s="14" t="str">
        <f t="shared" si="102"/>
        <v/>
      </c>
      <c r="H1725" s="91"/>
    </row>
    <row r="1726" spans="1:8" x14ac:dyDescent="0.25">
      <c r="A1726" s="6">
        <v>45707</v>
      </c>
      <c r="B1726" s="87" t="s">
        <v>8</v>
      </c>
      <c r="C1726" s="85"/>
      <c r="D1726" s="85"/>
      <c r="E1726" s="13"/>
      <c r="F1726" s="14" t="str">
        <f t="shared" si="102"/>
        <v/>
      </c>
      <c r="H1726" s="91"/>
    </row>
    <row r="1727" spans="1:8" x14ac:dyDescent="0.25">
      <c r="A1727" s="11">
        <v>45708</v>
      </c>
      <c r="B1727" s="87" t="s">
        <v>8</v>
      </c>
      <c r="C1727" s="85"/>
      <c r="D1727" s="85"/>
      <c r="E1727" s="13"/>
      <c r="F1727" s="14" t="str">
        <f t="shared" si="102"/>
        <v/>
      </c>
      <c r="H1727" s="91"/>
    </row>
    <row r="1728" spans="1:8" x14ac:dyDescent="0.25">
      <c r="A1728" s="6">
        <v>45709</v>
      </c>
      <c r="B1728" s="87" t="s">
        <v>8</v>
      </c>
      <c r="C1728" s="85"/>
      <c r="D1728" s="85"/>
      <c r="E1728" s="13"/>
      <c r="F1728" s="14" t="str">
        <f t="shared" si="102"/>
        <v/>
      </c>
      <c r="H1728" s="91"/>
    </row>
    <row r="1729" spans="1:8" x14ac:dyDescent="0.25">
      <c r="A1729" s="11">
        <v>45710</v>
      </c>
      <c r="B1729" s="87"/>
      <c r="C1729" s="85"/>
      <c r="D1729" s="85"/>
      <c r="E1729" s="13"/>
      <c r="F1729" s="14" t="str">
        <f t="shared" si="102"/>
        <v/>
      </c>
      <c r="H1729" s="91"/>
    </row>
    <row r="1730" spans="1:8" x14ac:dyDescent="0.25">
      <c r="A1730" s="6">
        <v>45711</v>
      </c>
      <c r="B1730" s="87"/>
      <c r="C1730" s="85"/>
      <c r="D1730" s="85"/>
      <c r="E1730" s="13"/>
      <c r="F1730" s="14" t="str">
        <f t="shared" si="102"/>
        <v/>
      </c>
      <c r="H1730" s="92"/>
    </row>
    <row r="1731" spans="1:8" x14ac:dyDescent="0.25">
      <c r="A1731" s="11">
        <v>45712</v>
      </c>
      <c r="B1731" s="87" t="s">
        <v>8</v>
      </c>
      <c r="C1731" s="85"/>
      <c r="D1731" s="85"/>
      <c r="E1731" s="13"/>
      <c r="F1731" s="14" t="str">
        <f t="shared" si="102"/>
        <v/>
      </c>
      <c r="H1731" s="90">
        <f t="shared" ref="H1731" si="104">SUM(F1731:G1737)</f>
        <v>0</v>
      </c>
    </row>
    <row r="1732" spans="1:8" x14ac:dyDescent="0.25">
      <c r="A1732" s="6">
        <v>45713</v>
      </c>
      <c r="B1732" s="87" t="s">
        <v>8</v>
      </c>
      <c r="C1732" s="85"/>
      <c r="D1732" s="85"/>
      <c r="E1732" s="13"/>
      <c r="F1732" s="14" t="str">
        <f t="shared" si="102"/>
        <v/>
      </c>
      <c r="H1732" s="91"/>
    </row>
    <row r="1733" spans="1:8" x14ac:dyDescent="0.25">
      <c r="A1733" s="11">
        <v>45714</v>
      </c>
      <c r="B1733" s="87" t="s">
        <v>8</v>
      </c>
      <c r="C1733" s="85"/>
      <c r="D1733" s="85"/>
      <c r="E1733" s="13"/>
      <c r="F1733" s="14" t="str">
        <f t="shared" si="102"/>
        <v/>
      </c>
      <c r="H1733" s="91"/>
    </row>
    <row r="1734" spans="1:8" x14ac:dyDescent="0.25">
      <c r="A1734" s="6">
        <v>45715</v>
      </c>
      <c r="B1734" s="87" t="s">
        <v>8</v>
      </c>
      <c r="C1734" s="85"/>
      <c r="D1734" s="85"/>
      <c r="E1734" s="13"/>
      <c r="F1734" s="14" t="str">
        <f t="shared" si="102"/>
        <v/>
      </c>
      <c r="H1734" s="91"/>
    </row>
    <row r="1735" spans="1:8" x14ac:dyDescent="0.25">
      <c r="A1735" s="11">
        <v>45716</v>
      </c>
      <c r="B1735" s="87" t="s">
        <v>8</v>
      </c>
      <c r="C1735" s="85"/>
      <c r="D1735" s="85"/>
      <c r="E1735" s="13"/>
      <c r="F1735" s="14" t="str">
        <f t="shared" si="102"/>
        <v/>
      </c>
      <c r="H1735" s="91"/>
    </row>
    <row r="1736" spans="1:8" x14ac:dyDescent="0.25">
      <c r="A1736" s="6">
        <v>45717</v>
      </c>
      <c r="B1736" s="87"/>
      <c r="C1736" s="85"/>
      <c r="D1736" s="85"/>
      <c r="E1736" s="13"/>
      <c r="F1736" s="14" t="str">
        <f t="shared" si="102"/>
        <v/>
      </c>
      <c r="H1736" s="91"/>
    </row>
    <row r="1737" spans="1:8" x14ac:dyDescent="0.25">
      <c r="A1737" s="11">
        <v>45718</v>
      </c>
      <c r="B1737" s="87"/>
      <c r="C1737" s="85"/>
      <c r="D1737" s="85"/>
      <c r="E1737" s="13"/>
      <c r="F1737" s="14" t="str">
        <f t="shared" si="102"/>
        <v/>
      </c>
      <c r="H1737" s="92"/>
    </row>
    <row r="1738" spans="1:8" x14ac:dyDescent="0.25">
      <c r="A1738" s="6">
        <v>45719</v>
      </c>
      <c r="B1738" s="87" t="s">
        <v>8</v>
      </c>
      <c r="C1738" s="85"/>
      <c r="D1738" s="85"/>
      <c r="E1738" s="13"/>
      <c r="F1738" s="14" t="str">
        <f t="shared" si="102"/>
        <v/>
      </c>
      <c r="H1738" s="90">
        <f t="shared" ref="H1738" si="105">SUM(F1738:G1744)</f>
        <v>27</v>
      </c>
    </row>
    <row r="1739" spans="1:8" x14ac:dyDescent="0.25">
      <c r="A1739" s="11">
        <v>45720</v>
      </c>
      <c r="B1739" s="87" t="s">
        <v>8</v>
      </c>
      <c r="C1739" s="85"/>
      <c r="D1739" s="85"/>
      <c r="E1739" s="13"/>
      <c r="F1739" s="14" t="str">
        <f t="shared" si="102"/>
        <v/>
      </c>
      <c r="H1739" s="91"/>
    </row>
    <row r="1740" spans="1:8" x14ac:dyDescent="0.25">
      <c r="A1740" s="6">
        <v>45721</v>
      </c>
      <c r="B1740" s="82" t="s">
        <v>9</v>
      </c>
      <c r="C1740" s="85">
        <v>0.25</v>
      </c>
      <c r="D1740" s="85">
        <v>0.64583333333333337</v>
      </c>
      <c r="E1740" s="13">
        <v>0.5</v>
      </c>
      <c r="F1740" s="14">
        <f t="shared" si="102"/>
        <v>9</v>
      </c>
      <c r="H1740" s="91"/>
    </row>
    <row r="1741" spans="1:8" x14ac:dyDescent="0.25">
      <c r="A1741" s="11">
        <v>45722</v>
      </c>
      <c r="B1741" s="82" t="s">
        <v>9</v>
      </c>
      <c r="C1741" s="85">
        <v>0.25</v>
      </c>
      <c r="D1741" s="85">
        <v>0.64583333333333337</v>
      </c>
      <c r="E1741" s="13">
        <v>0.5</v>
      </c>
      <c r="F1741" s="14">
        <f t="shared" si="102"/>
        <v>9</v>
      </c>
      <c r="H1741" s="91"/>
    </row>
    <row r="1742" spans="1:8" x14ac:dyDescent="0.25">
      <c r="A1742" s="6">
        <v>45723</v>
      </c>
      <c r="B1742" s="82" t="s">
        <v>9</v>
      </c>
      <c r="C1742" s="85">
        <v>0.25</v>
      </c>
      <c r="D1742" s="85">
        <v>0.64583333333333337</v>
      </c>
      <c r="E1742" s="13">
        <v>0.5</v>
      </c>
      <c r="F1742" s="14">
        <f t="shared" si="102"/>
        <v>9</v>
      </c>
      <c r="H1742" s="91"/>
    </row>
    <row r="1743" spans="1:8" x14ac:dyDescent="0.25">
      <c r="A1743" s="11">
        <v>45724</v>
      </c>
      <c r="B1743" s="87"/>
      <c r="C1743" s="85"/>
      <c r="D1743" s="85"/>
      <c r="E1743" s="13"/>
      <c r="F1743" s="14" t="str">
        <f t="shared" si="102"/>
        <v/>
      </c>
      <c r="H1743" s="91"/>
    </row>
    <row r="1744" spans="1:8" x14ac:dyDescent="0.25">
      <c r="A1744" s="6">
        <v>45725</v>
      </c>
      <c r="B1744" s="87"/>
      <c r="C1744" s="85"/>
      <c r="D1744" s="85"/>
      <c r="E1744" s="13"/>
      <c r="F1744" s="14" t="str">
        <f t="shared" si="102"/>
        <v/>
      </c>
      <c r="H1744" s="92"/>
    </row>
    <row r="1745" spans="1:8" x14ac:dyDescent="0.25">
      <c r="A1745" s="11">
        <v>45726</v>
      </c>
      <c r="B1745" s="82" t="s">
        <v>9</v>
      </c>
      <c r="C1745" s="85">
        <v>0.25</v>
      </c>
      <c r="D1745" s="85">
        <v>0.64583333333333337</v>
      </c>
      <c r="E1745" s="13">
        <v>0.5</v>
      </c>
      <c r="F1745" s="14">
        <f t="shared" si="102"/>
        <v>9</v>
      </c>
      <c r="G1745">
        <v>2</v>
      </c>
      <c r="H1745" s="90">
        <f t="shared" ref="H1745" si="106">SUM(F1745:G1751)</f>
        <v>78.916666666666671</v>
      </c>
    </row>
    <row r="1746" spans="1:8" x14ac:dyDescent="0.25">
      <c r="A1746" s="6">
        <v>45727</v>
      </c>
      <c r="B1746" s="82" t="s">
        <v>9</v>
      </c>
      <c r="C1746" s="85">
        <v>0.25</v>
      </c>
      <c r="D1746" s="85">
        <v>0.64583333333333337</v>
      </c>
      <c r="E1746" s="13">
        <v>0.5</v>
      </c>
      <c r="F1746" s="14">
        <f t="shared" si="102"/>
        <v>9</v>
      </c>
      <c r="G1746">
        <v>1</v>
      </c>
      <c r="H1746" s="91"/>
    </row>
    <row r="1747" spans="1:8" x14ac:dyDescent="0.25">
      <c r="A1747" s="11">
        <v>45728</v>
      </c>
      <c r="B1747" s="82" t="s">
        <v>9</v>
      </c>
      <c r="C1747" s="85">
        <v>0.25</v>
      </c>
      <c r="D1747" s="85">
        <v>0.64583333333333337</v>
      </c>
      <c r="E1747" s="13">
        <v>0.5</v>
      </c>
      <c r="F1747" s="14">
        <f t="shared" si="102"/>
        <v>9</v>
      </c>
      <c r="H1747" s="91"/>
    </row>
    <row r="1748" spans="1:8" x14ac:dyDescent="0.25">
      <c r="A1748" s="6">
        <v>45729</v>
      </c>
      <c r="B1748" s="83" t="s">
        <v>12</v>
      </c>
      <c r="C1748" s="85">
        <v>0.3125</v>
      </c>
      <c r="D1748" s="85">
        <v>0.69791666666666663</v>
      </c>
      <c r="E1748" s="13">
        <v>0.5</v>
      </c>
      <c r="F1748" s="14">
        <f t="shared" si="102"/>
        <v>8.75</v>
      </c>
      <c r="G1748">
        <v>1</v>
      </c>
      <c r="H1748" s="91"/>
    </row>
    <row r="1749" spans="1:8" x14ac:dyDescent="0.25">
      <c r="A1749" s="11">
        <v>45730</v>
      </c>
      <c r="B1749" s="82" t="s">
        <v>12</v>
      </c>
      <c r="C1749" s="85">
        <v>0.3125</v>
      </c>
      <c r="D1749" s="85">
        <v>0.75</v>
      </c>
      <c r="E1749" s="13">
        <v>0.5</v>
      </c>
      <c r="F1749" s="14">
        <f t="shared" si="102"/>
        <v>10</v>
      </c>
      <c r="G1749">
        <v>1</v>
      </c>
      <c r="H1749" s="91"/>
    </row>
    <row r="1750" spans="1:8" x14ac:dyDescent="0.25">
      <c r="A1750" s="6">
        <v>45731</v>
      </c>
      <c r="B1750" s="7" t="s">
        <v>15</v>
      </c>
      <c r="C1750" s="85">
        <v>0.28472222222222221</v>
      </c>
      <c r="D1750" s="85">
        <v>0.64583333333333337</v>
      </c>
      <c r="E1750" s="13">
        <v>0.5</v>
      </c>
      <c r="F1750" s="14">
        <f t="shared" si="102"/>
        <v>8.1666666666666679</v>
      </c>
      <c r="H1750" s="91"/>
    </row>
    <row r="1751" spans="1:8" x14ac:dyDescent="0.25">
      <c r="A1751" s="11">
        <v>45732</v>
      </c>
      <c r="B1751" s="7" t="s">
        <v>12</v>
      </c>
      <c r="C1751" s="85">
        <v>0.3125</v>
      </c>
      <c r="D1751" s="85">
        <v>0.75</v>
      </c>
      <c r="E1751" s="13">
        <v>0.5</v>
      </c>
      <c r="F1751" s="14">
        <f t="shared" si="102"/>
        <v>10</v>
      </c>
      <c r="G1751">
        <v>10</v>
      </c>
      <c r="H1751" s="92"/>
    </row>
    <row r="1752" spans="1:8" x14ac:dyDescent="0.25">
      <c r="A1752" s="6">
        <v>45733</v>
      </c>
      <c r="B1752" s="82" t="s">
        <v>9</v>
      </c>
      <c r="C1752" s="85">
        <v>0.25</v>
      </c>
      <c r="D1752" s="85">
        <v>0.64583333333333337</v>
      </c>
      <c r="E1752" s="13">
        <v>0.5</v>
      </c>
      <c r="F1752" s="14">
        <f t="shared" si="102"/>
        <v>9</v>
      </c>
      <c r="H1752" s="90">
        <f t="shared" ref="H1752" si="107">SUM(F1752:G1758)</f>
        <v>54.333333333333343</v>
      </c>
    </row>
    <row r="1753" spans="1:8" x14ac:dyDescent="0.25">
      <c r="A1753" s="11">
        <v>45734</v>
      </c>
      <c r="B1753" s="82" t="s">
        <v>9</v>
      </c>
      <c r="C1753" s="85">
        <v>0.25</v>
      </c>
      <c r="D1753" s="85">
        <v>0.64583333333333337</v>
      </c>
      <c r="E1753" s="13">
        <v>0.5</v>
      </c>
      <c r="F1753" s="14">
        <f t="shared" si="102"/>
        <v>9</v>
      </c>
      <c r="H1753" s="91"/>
    </row>
    <row r="1754" spans="1:8" x14ac:dyDescent="0.25">
      <c r="A1754" s="6">
        <v>45735</v>
      </c>
      <c r="B1754" s="82" t="s">
        <v>9</v>
      </c>
      <c r="C1754" s="85">
        <v>0.25</v>
      </c>
      <c r="D1754" s="85">
        <v>0.64583333333333337</v>
      </c>
      <c r="E1754" s="13">
        <v>0.5</v>
      </c>
      <c r="F1754" s="14">
        <f t="shared" si="102"/>
        <v>9</v>
      </c>
      <c r="H1754" s="91"/>
    </row>
    <row r="1755" spans="1:8" x14ac:dyDescent="0.25">
      <c r="A1755" s="11">
        <v>45736</v>
      </c>
      <c r="B1755" s="83" t="s">
        <v>12</v>
      </c>
      <c r="C1755" s="85">
        <v>0.25</v>
      </c>
      <c r="D1755" s="85">
        <v>0.64583333333333337</v>
      </c>
      <c r="E1755" s="13">
        <v>0.5</v>
      </c>
      <c r="F1755" s="14">
        <f t="shared" si="102"/>
        <v>9</v>
      </c>
      <c r="H1755" s="91"/>
    </row>
    <row r="1756" spans="1:8" x14ac:dyDescent="0.25">
      <c r="A1756" s="6">
        <v>45737</v>
      </c>
      <c r="B1756" s="87" t="s">
        <v>14</v>
      </c>
      <c r="C1756" s="85"/>
      <c r="D1756" s="85"/>
      <c r="E1756" s="13"/>
      <c r="F1756" s="14" t="str">
        <f t="shared" ref="F1756:F1819" si="108">IF(C1756="", "", IF(D1756="", "", (D1756-C1756)*24 - E1756))</f>
        <v/>
      </c>
      <c r="H1756" s="91"/>
    </row>
    <row r="1757" spans="1:8" x14ac:dyDescent="0.25">
      <c r="A1757" s="11">
        <v>45738</v>
      </c>
      <c r="B1757" s="7" t="s">
        <v>15</v>
      </c>
      <c r="C1757" s="85">
        <v>0.28472222222222221</v>
      </c>
      <c r="D1757" s="85">
        <v>0.64583333333333337</v>
      </c>
      <c r="E1757" s="13">
        <v>0.5</v>
      </c>
      <c r="F1757" s="14">
        <f>IF(C1757="", "", IF(D1757="", "", (D1757-C1757)*24 - E1757))</f>
        <v>8.1666666666666679</v>
      </c>
      <c r="G1757">
        <v>1</v>
      </c>
      <c r="H1757" s="91"/>
    </row>
    <row r="1758" spans="1:8" x14ac:dyDescent="0.25">
      <c r="A1758" s="6">
        <v>45739</v>
      </c>
      <c r="B1758" s="7" t="s">
        <v>15</v>
      </c>
      <c r="C1758" s="85">
        <v>0.28472222222222221</v>
      </c>
      <c r="D1758" s="85">
        <v>0.64583333333333337</v>
      </c>
      <c r="E1758" s="13">
        <v>0.5</v>
      </c>
      <c r="F1758" s="14">
        <f>IF(C1758="", "", IF(D1758="", "", (D1758-C1758)*24 - E1758))</f>
        <v>8.1666666666666679</v>
      </c>
      <c r="G1758">
        <v>1</v>
      </c>
      <c r="H1758" s="92"/>
    </row>
    <row r="1759" spans="1:8" x14ac:dyDescent="0.25">
      <c r="A1759" s="11">
        <v>45740</v>
      </c>
      <c r="B1759" s="82" t="s">
        <v>9</v>
      </c>
      <c r="C1759" s="85">
        <v>0.25</v>
      </c>
      <c r="D1759" s="85">
        <v>0.64583333333333337</v>
      </c>
      <c r="E1759" s="13">
        <v>0.5</v>
      </c>
      <c r="F1759" s="14">
        <f t="shared" si="108"/>
        <v>9</v>
      </c>
      <c r="H1759" s="90">
        <f>SUM(F1759:G1765)</f>
        <v>36</v>
      </c>
    </row>
    <row r="1760" spans="1:8" x14ac:dyDescent="0.25">
      <c r="A1760" s="6">
        <v>45741</v>
      </c>
      <c r="B1760" s="82" t="s">
        <v>9</v>
      </c>
      <c r="C1760" s="85">
        <v>0.25</v>
      </c>
      <c r="D1760" s="85">
        <v>0.64583333333333337</v>
      </c>
      <c r="E1760" s="13">
        <v>0.5</v>
      </c>
      <c r="F1760" s="14">
        <f t="shared" si="108"/>
        <v>9</v>
      </c>
      <c r="H1760" s="91"/>
    </row>
    <row r="1761" spans="1:8" x14ac:dyDescent="0.25">
      <c r="A1761" s="11">
        <v>45742</v>
      </c>
      <c r="B1761" s="83" t="s">
        <v>12</v>
      </c>
      <c r="C1761" s="85">
        <v>0.25</v>
      </c>
      <c r="D1761" s="85">
        <v>0.64583333333333337</v>
      </c>
      <c r="E1761" s="13">
        <v>0.5</v>
      </c>
      <c r="F1761" s="14">
        <f t="shared" si="108"/>
        <v>9</v>
      </c>
      <c r="H1761" s="91"/>
    </row>
    <row r="1762" spans="1:8" x14ac:dyDescent="0.25">
      <c r="A1762" s="6">
        <v>45743</v>
      </c>
      <c r="B1762" s="82" t="s">
        <v>9</v>
      </c>
      <c r="C1762" s="85">
        <v>0.25</v>
      </c>
      <c r="D1762" s="85">
        <v>0.64583333333333337</v>
      </c>
      <c r="E1762" s="13">
        <v>0.5</v>
      </c>
      <c r="F1762" s="14">
        <f t="shared" si="108"/>
        <v>9</v>
      </c>
      <c r="H1762" s="91"/>
    </row>
    <row r="1763" spans="1:8" x14ac:dyDescent="0.25">
      <c r="A1763" s="11">
        <v>45744</v>
      </c>
      <c r="B1763" s="87" t="s">
        <v>14</v>
      </c>
      <c r="C1763" s="85"/>
      <c r="D1763" s="85"/>
      <c r="E1763" s="13"/>
      <c r="F1763" s="14" t="str">
        <f t="shared" si="108"/>
        <v/>
      </c>
      <c r="H1763" s="91"/>
    </row>
    <row r="1764" spans="1:8" x14ac:dyDescent="0.25">
      <c r="A1764" s="6">
        <v>45745</v>
      </c>
      <c r="B1764" s="87"/>
      <c r="C1764" s="85"/>
      <c r="D1764" s="85"/>
      <c r="E1764" s="13"/>
      <c r="F1764" s="14" t="str">
        <f t="shared" si="108"/>
        <v/>
      </c>
      <c r="H1764" s="91"/>
    </row>
    <row r="1765" spans="1:8" x14ac:dyDescent="0.25">
      <c r="A1765" s="11">
        <v>45746</v>
      </c>
      <c r="B1765" s="87"/>
      <c r="C1765" s="85"/>
      <c r="D1765" s="85"/>
      <c r="E1765" s="13"/>
      <c r="F1765" s="14" t="str">
        <f t="shared" si="108"/>
        <v/>
      </c>
      <c r="H1765" s="92"/>
    </row>
    <row r="1766" spans="1:8" x14ac:dyDescent="0.25">
      <c r="A1766" s="6">
        <v>45747</v>
      </c>
      <c r="B1766" s="82" t="s">
        <v>9</v>
      </c>
      <c r="C1766" s="85">
        <v>0.25</v>
      </c>
      <c r="D1766" s="85">
        <v>0.64583333333333337</v>
      </c>
      <c r="E1766" s="13">
        <v>0.5</v>
      </c>
      <c r="F1766" s="14">
        <f t="shared" si="108"/>
        <v>9</v>
      </c>
      <c r="H1766" s="90">
        <f>SUM(F1766:G1772)</f>
        <v>36</v>
      </c>
    </row>
    <row r="1767" spans="1:8" x14ac:dyDescent="0.25">
      <c r="A1767" s="11">
        <v>45748</v>
      </c>
      <c r="B1767" s="82" t="s">
        <v>9</v>
      </c>
      <c r="C1767" s="85">
        <v>0.25</v>
      </c>
      <c r="D1767" s="85">
        <v>0.64583333333333337</v>
      </c>
      <c r="E1767" s="13">
        <v>0.5</v>
      </c>
      <c r="F1767" s="14">
        <f t="shared" si="108"/>
        <v>9</v>
      </c>
      <c r="H1767" s="91"/>
    </row>
    <row r="1768" spans="1:8" x14ac:dyDescent="0.25">
      <c r="A1768" s="6">
        <v>45749</v>
      </c>
      <c r="B1768" s="83" t="s">
        <v>12</v>
      </c>
      <c r="C1768" s="85">
        <v>0.25</v>
      </c>
      <c r="D1768" s="85">
        <v>0.64583333333333337</v>
      </c>
      <c r="E1768" s="13">
        <v>0.5</v>
      </c>
      <c r="F1768" s="14">
        <f t="shared" si="108"/>
        <v>9</v>
      </c>
      <c r="H1768" s="91"/>
    </row>
    <row r="1769" spans="1:8" x14ac:dyDescent="0.25">
      <c r="A1769" s="11">
        <v>45750</v>
      </c>
      <c r="B1769" s="83" t="s">
        <v>12</v>
      </c>
      <c r="C1769" s="85">
        <v>0.25</v>
      </c>
      <c r="D1769" s="85">
        <v>0.64583333333333337</v>
      </c>
      <c r="E1769" s="13">
        <v>0.5</v>
      </c>
      <c r="F1769" s="14">
        <f t="shared" si="108"/>
        <v>9</v>
      </c>
      <c r="H1769" s="91"/>
    </row>
    <row r="1770" spans="1:8" x14ac:dyDescent="0.25">
      <c r="A1770" s="6">
        <v>45751</v>
      </c>
      <c r="B1770" s="87" t="s">
        <v>14</v>
      </c>
      <c r="C1770" s="85"/>
      <c r="D1770" s="85"/>
      <c r="E1770" s="13"/>
      <c r="F1770" s="14" t="str">
        <f t="shared" si="108"/>
        <v/>
      </c>
      <c r="H1770" s="91"/>
    </row>
    <row r="1771" spans="1:8" x14ac:dyDescent="0.25">
      <c r="A1771" s="11">
        <v>45752</v>
      </c>
      <c r="B1771" s="87"/>
      <c r="C1771" s="85"/>
      <c r="D1771" s="85"/>
      <c r="E1771" s="13"/>
      <c r="F1771" s="14" t="str">
        <f t="shared" si="108"/>
        <v/>
      </c>
      <c r="H1771" s="91"/>
    </row>
    <row r="1772" spans="1:8" x14ac:dyDescent="0.25">
      <c r="A1772" s="6">
        <v>45753</v>
      </c>
      <c r="B1772" s="87"/>
      <c r="C1772" s="85"/>
      <c r="D1772" s="85"/>
      <c r="E1772" s="13"/>
      <c r="F1772" s="14" t="str">
        <f t="shared" si="108"/>
        <v/>
      </c>
      <c r="H1772" s="92"/>
    </row>
    <row r="1773" spans="1:8" x14ac:dyDescent="0.25">
      <c r="A1773" s="11">
        <v>45754</v>
      </c>
      <c r="B1773" s="82" t="s">
        <v>9</v>
      </c>
      <c r="C1773" s="85">
        <v>0.25</v>
      </c>
      <c r="D1773" s="85">
        <v>0.64583333333333337</v>
      </c>
      <c r="E1773" s="13">
        <v>0.5</v>
      </c>
      <c r="F1773" s="14">
        <f t="shared" si="108"/>
        <v>9</v>
      </c>
      <c r="H1773" s="90">
        <f>SUM(F1773:G1779)</f>
        <v>36</v>
      </c>
    </row>
    <row r="1774" spans="1:8" x14ac:dyDescent="0.25">
      <c r="A1774" s="6">
        <v>45755</v>
      </c>
      <c r="B1774" s="82" t="s">
        <v>9</v>
      </c>
      <c r="C1774" s="85">
        <v>0.25</v>
      </c>
      <c r="D1774" s="85">
        <v>0.64583333333333337</v>
      </c>
      <c r="E1774" s="13">
        <v>0.5</v>
      </c>
      <c r="F1774" s="14">
        <f t="shared" si="108"/>
        <v>9</v>
      </c>
      <c r="H1774" s="91"/>
    </row>
    <row r="1775" spans="1:8" x14ac:dyDescent="0.25">
      <c r="A1775" s="11">
        <v>45756</v>
      </c>
      <c r="B1775" s="83" t="s">
        <v>12</v>
      </c>
      <c r="C1775" s="85">
        <v>0.25</v>
      </c>
      <c r="D1775" s="85">
        <v>0.64583333333333337</v>
      </c>
      <c r="E1775" s="13">
        <v>0.5</v>
      </c>
      <c r="F1775" s="14">
        <f t="shared" si="108"/>
        <v>9</v>
      </c>
      <c r="H1775" s="91"/>
    </row>
    <row r="1776" spans="1:8" x14ac:dyDescent="0.25">
      <c r="A1776" s="6">
        <v>45757</v>
      </c>
      <c r="B1776" s="82" t="s">
        <v>9</v>
      </c>
      <c r="C1776" s="85">
        <v>0.25</v>
      </c>
      <c r="D1776" s="85">
        <v>0.64583333333333337</v>
      </c>
      <c r="E1776" s="13">
        <v>0.5</v>
      </c>
      <c r="F1776" s="14">
        <f t="shared" si="108"/>
        <v>9</v>
      </c>
      <c r="H1776" s="91"/>
    </row>
    <row r="1777" spans="1:8" x14ac:dyDescent="0.25">
      <c r="A1777" s="11">
        <v>45758</v>
      </c>
      <c r="B1777" s="87" t="s">
        <v>14</v>
      </c>
      <c r="C1777" s="85"/>
      <c r="D1777" s="85"/>
      <c r="E1777" s="13"/>
      <c r="F1777" s="14" t="str">
        <f t="shared" si="108"/>
        <v/>
      </c>
      <c r="H1777" s="91"/>
    </row>
    <row r="1778" spans="1:8" x14ac:dyDescent="0.25">
      <c r="A1778" s="6">
        <v>45759</v>
      </c>
      <c r="B1778" s="87"/>
      <c r="C1778" s="85"/>
      <c r="D1778" s="85"/>
      <c r="E1778" s="13"/>
      <c r="F1778" s="14" t="str">
        <f t="shared" si="108"/>
        <v/>
      </c>
      <c r="H1778" s="91"/>
    </row>
    <row r="1779" spans="1:8" x14ac:dyDescent="0.25">
      <c r="A1779" s="11">
        <v>45760</v>
      </c>
      <c r="B1779" s="87"/>
      <c r="C1779" s="85"/>
      <c r="D1779" s="85"/>
      <c r="E1779" s="13"/>
      <c r="F1779" s="14" t="str">
        <f t="shared" si="108"/>
        <v/>
      </c>
      <c r="H1779" s="92"/>
    </row>
    <row r="1780" spans="1:8" x14ac:dyDescent="0.25">
      <c r="A1780" s="6">
        <v>45761</v>
      </c>
      <c r="B1780" s="82" t="s">
        <v>9</v>
      </c>
      <c r="C1780" s="85">
        <v>0.25</v>
      </c>
      <c r="D1780" s="85">
        <v>0.64583333333333337</v>
      </c>
      <c r="E1780" s="13">
        <v>0.5</v>
      </c>
      <c r="F1780" s="14">
        <f t="shared" si="108"/>
        <v>9</v>
      </c>
      <c r="H1780" s="90">
        <f t="shared" ref="H1780" si="109">SUM(F1780:G1786)</f>
        <v>36</v>
      </c>
    </row>
    <row r="1781" spans="1:8" x14ac:dyDescent="0.25">
      <c r="A1781" s="11">
        <v>45762</v>
      </c>
      <c r="B1781" s="83" t="s">
        <v>12</v>
      </c>
      <c r="C1781" s="85">
        <v>0.25</v>
      </c>
      <c r="D1781" s="85">
        <v>0.64583333333333337</v>
      </c>
      <c r="E1781" s="13">
        <v>0.5</v>
      </c>
      <c r="F1781" s="14">
        <f t="shared" si="108"/>
        <v>9</v>
      </c>
      <c r="H1781" s="91"/>
    </row>
    <row r="1782" spans="1:8" x14ac:dyDescent="0.25">
      <c r="A1782" s="6">
        <v>45763</v>
      </c>
      <c r="B1782" s="82" t="s">
        <v>9</v>
      </c>
      <c r="C1782" s="85">
        <v>0.25</v>
      </c>
      <c r="D1782" s="85">
        <v>0.64583333333333337</v>
      </c>
      <c r="E1782" s="13">
        <v>0.5</v>
      </c>
      <c r="F1782" s="14">
        <f t="shared" si="108"/>
        <v>9</v>
      </c>
      <c r="H1782" s="91"/>
    </row>
    <row r="1783" spans="1:8" x14ac:dyDescent="0.25">
      <c r="A1783" s="11">
        <v>45764</v>
      </c>
      <c r="B1783" s="82" t="s">
        <v>9</v>
      </c>
      <c r="C1783" s="85">
        <v>0.25</v>
      </c>
      <c r="D1783" s="85">
        <v>0.64583333333333337</v>
      </c>
      <c r="E1783" s="13">
        <v>0.5</v>
      </c>
      <c r="F1783" s="14">
        <f t="shared" si="108"/>
        <v>9</v>
      </c>
      <c r="H1783" s="91"/>
    </row>
    <row r="1784" spans="1:8" x14ac:dyDescent="0.25">
      <c r="A1784" s="6">
        <v>45765</v>
      </c>
      <c r="B1784" s="87" t="s">
        <v>13</v>
      </c>
      <c r="C1784" s="85"/>
      <c r="D1784" s="85"/>
      <c r="E1784" s="13"/>
      <c r="F1784" s="14" t="str">
        <f t="shared" si="108"/>
        <v/>
      </c>
      <c r="H1784" s="91"/>
    </row>
    <row r="1785" spans="1:8" x14ac:dyDescent="0.25">
      <c r="A1785" s="11">
        <v>45766</v>
      </c>
      <c r="B1785" s="87"/>
      <c r="C1785" s="85"/>
      <c r="D1785" s="85"/>
      <c r="E1785" s="13"/>
      <c r="F1785" s="14" t="str">
        <f t="shared" si="108"/>
        <v/>
      </c>
      <c r="H1785" s="91"/>
    </row>
    <row r="1786" spans="1:8" x14ac:dyDescent="0.25">
      <c r="A1786" s="6">
        <v>45767</v>
      </c>
      <c r="B1786" s="87"/>
      <c r="C1786" s="85"/>
      <c r="D1786" s="85"/>
      <c r="E1786" s="13"/>
      <c r="F1786" s="14" t="str">
        <f t="shared" si="108"/>
        <v/>
      </c>
      <c r="H1786" s="92"/>
    </row>
    <row r="1787" spans="1:8" x14ac:dyDescent="0.25">
      <c r="A1787" s="11">
        <v>45768</v>
      </c>
      <c r="B1787" s="87" t="s">
        <v>13</v>
      </c>
      <c r="C1787" s="85"/>
      <c r="D1787" s="85"/>
      <c r="E1787" s="13"/>
      <c r="F1787" s="14" t="str">
        <f t="shared" si="108"/>
        <v/>
      </c>
      <c r="H1787" s="90">
        <f t="shared" ref="H1787" si="110">SUM(F1787:G1793)</f>
        <v>47.833333333333343</v>
      </c>
    </row>
    <row r="1788" spans="1:8" x14ac:dyDescent="0.25">
      <c r="A1788" s="6">
        <v>45769</v>
      </c>
      <c r="B1788" s="82" t="s">
        <v>12</v>
      </c>
      <c r="C1788" s="85">
        <v>0.25</v>
      </c>
      <c r="D1788" s="85">
        <v>0.66666666666666663</v>
      </c>
      <c r="E1788" s="13">
        <v>0.5</v>
      </c>
      <c r="F1788" s="14">
        <f t="shared" si="108"/>
        <v>9.5</v>
      </c>
      <c r="G1788">
        <v>2</v>
      </c>
      <c r="H1788" s="91"/>
    </row>
    <row r="1789" spans="1:8" x14ac:dyDescent="0.25">
      <c r="A1789" s="11">
        <v>45770</v>
      </c>
      <c r="B1789" s="82" t="s">
        <v>9</v>
      </c>
      <c r="C1789" s="85">
        <v>0.25</v>
      </c>
      <c r="D1789" s="85">
        <v>0.66666666666666663</v>
      </c>
      <c r="E1789" s="13">
        <v>0.5</v>
      </c>
      <c r="F1789" s="14">
        <f t="shared" si="108"/>
        <v>9.5</v>
      </c>
      <c r="H1789" s="91"/>
    </row>
    <row r="1790" spans="1:8" x14ac:dyDescent="0.25">
      <c r="A1790" s="6">
        <v>45771</v>
      </c>
      <c r="B1790" s="82" t="s">
        <v>9</v>
      </c>
      <c r="C1790" s="85">
        <v>0.25</v>
      </c>
      <c r="D1790" s="85">
        <v>0.58333333333333337</v>
      </c>
      <c r="E1790" s="13">
        <v>0.5</v>
      </c>
      <c r="F1790" s="14">
        <f t="shared" si="108"/>
        <v>7.5</v>
      </c>
      <c r="H1790" s="91"/>
    </row>
    <row r="1791" spans="1:8" x14ac:dyDescent="0.25">
      <c r="A1791" s="11">
        <v>45772</v>
      </c>
      <c r="B1791" s="87" t="s">
        <v>13</v>
      </c>
      <c r="C1791" s="85"/>
      <c r="D1791" s="85"/>
      <c r="E1791" s="13"/>
      <c r="F1791" s="14" t="str">
        <f t="shared" si="108"/>
        <v/>
      </c>
      <c r="H1791" s="91"/>
    </row>
    <row r="1792" spans="1:8" x14ac:dyDescent="0.25">
      <c r="A1792" s="6">
        <v>45773</v>
      </c>
      <c r="B1792" s="7" t="s">
        <v>15</v>
      </c>
      <c r="C1792" s="85">
        <v>0.28472222222222221</v>
      </c>
      <c r="D1792" s="85">
        <v>0.64583333333333337</v>
      </c>
      <c r="E1792" s="13">
        <v>0.5</v>
      </c>
      <c r="F1792" s="14">
        <f t="shared" si="108"/>
        <v>8.1666666666666679</v>
      </c>
      <c r="G1792">
        <v>2</v>
      </c>
      <c r="H1792" s="91"/>
    </row>
    <row r="1793" spans="1:8" x14ac:dyDescent="0.25">
      <c r="A1793" s="11">
        <v>45774</v>
      </c>
      <c r="B1793" s="7" t="s">
        <v>15</v>
      </c>
      <c r="C1793" s="85">
        <v>0.28472222222222221</v>
      </c>
      <c r="D1793" s="85">
        <v>0.64583333333333337</v>
      </c>
      <c r="E1793" s="13">
        <v>0.5</v>
      </c>
      <c r="F1793" s="14">
        <f t="shared" si="108"/>
        <v>8.1666666666666679</v>
      </c>
      <c r="G1793">
        <v>1</v>
      </c>
      <c r="H1793" s="92"/>
    </row>
    <row r="1794" spans="1:8" x14ac:dyDescent="0.25">
      <c r="A1794" s="6">
        <v>45775</v>
      </c>
      <c r="B1794" s="82" t="s">
        <v>9</v>
      </c>
      <c r="C1794" s="85">
        <v>0.25</v>
      </c>
      <c r="D1794" s="85">
        <v>0.64583333333333337</v>
      </c>
      <c r="E1794" s="13">
        <v>0.5</v>
      </c>
      <c r="F1794" s="14">
        <f t="shared" si="108"/>
        <v>9</v>
      </c>
      <c r="H1794" s="90">
        <f t="shared" ref="H1794" si="111">SUM(F1794:G1800)</f>
        <v>57.333333333333343</v>
      </c>
    </row>
    <row r="1795" spans="1:8" x14ac:dyDescent="0.25">
      <c r="A1795" s="11">
        <v>45776</v>
      </c>
      <c r="B1795" s="83" t="s">
        <v>12</v>
      </c>
      <c r="C1795" s="85">
        <v>0.25</v>
      </c>
      <c r="D1795" s="85">
        <v>0.64583333333333337</v>
      </c>
      <c r="E1795" s="13">
        <v>0.5</v>
      </c>
      <c r="F1795" s="14">
        <f t="shared" si="108"/>
        <v>9</v>
      </c>
      <c r="G1795">
        <v>1</v>
      </c>
      <c r="H1795" s="91"/>
    </row>
    <row r="1796" spans="1:8" x14ac:dyDescent="0.25">
      <c r="A1796" s="6">
        <v>45777</v>
      </c>
      <c r="B1796" s="82" t="s">
        <v>9</v>
      </c>
      <c r="C1796" s="85">
        <v>0.25</v>
      </c>
      <c r="D1796" s="85">
        <v>0.64583333333333337</v>
      </c>
      <c r="E1796" s="13">
        <v>0.5</v>
      </c>
      <c r="F1796" s="14">
        <f t="shared" si="108"/>
        <v>9</v>
      </c>
      <c r="G1796">
        <v>1</v>
      </c>
      <c r="H1796" s="91"/>
    </row>
    <row r="1797" spans="1:8" x14ac:dyDescent="0.25">
      <c r="A1797" s="11">
        <v>45778</v>
      </c>
      <c r="B1797" s="82" t="s">
        <v>9</v>
      </c>
      <c r="C1797" s="85">
        <v>0.25</v>
      </c>
      <c r="D1797" s="85">
        <v>0.64583333333333337</v>
      </c>
      <c r="E1797" s="13">
        <v>0.5</v>
      </c>
      <c r="F1797" s="14">
        <f t="shared" si="108"/>
        <v>9</v>
      </c>
      <c r="G1797">
        <v>1</v>
      </c>
      <c r="H1797" s="91"/>
    </row>
    <row r="1798" spans="1:8" x14ac:dyDescent="0.25">
      <c r="A1798" s="6">
        <v>45779</v>
      </c>
      <c r="B1798" s="87" t="s">
        <v>14</v>
      </c>
      <c r="C1798" s="85"/>
      <c r="D1798" s="85"/>
      <c r="E1798" s="13"/>
      <c r="F1798" s="14" t="str">
        <f t="shared" si="108"/>
        <v/>
      </c>
      <c r="H1798" s="91"/>
    </row>
    <row r="1799" spans="1:8" x14ac:dyDescent="0.25">
      <c r="A1799" s="11">
        <v>45780</v>
      </c>
      <c r="B1799" s="7" t="s">
        <v>15</v>
      </c>
      <c r="C1799" s="85">
        <v>0.28472222222222221</v>
      </c>
      <c r="D1799" s="85">
        <v>0.64583333333333337</v>
      </c>
      <c r="E1799" s="13">
        <v>0.5</v>
      </c>
      <c r="F1799" s="14">
        <f t="shared" si="108"/>
        <v>8.1666666666666679</v>
      </c>
      <c r="G1799">
        <v>2</v>
      </c>
      <c r="H1799" s="91"/>
    </row>
    <row r="1800" spans="1:8" x14ac:dyDescent="0.25">
      <c r="A1800" s="6">
        <v>45781</v>
      </c>
      <c r="B1800" s="7" t="s">
        <v>15</v>
      </c>
      <c r="C1800" s="85">
        <v>0.28472222222222221</v>
      </c>
      <c r="D1800" s="85">
        <v>0.64583333333333337</v>
      </c>
      <c r="E1800" s="13">
        <v>0.5</v>
      </c>
      <c r="F1800" s="14">
        <f t="shared" si="108"/>
        <v>8.1666666666666679</v>
      </c>
      <c r="H1800" s="92"/>
    </row>
    <row r="1801" spans="1:8" x14ac:dyDescent="0.25">
      <c r="A1801" s="11">
        <v>45782</v>
      </c>
      <c r="B1801" s="87" t="s">
        <v>13</v>
      </c>
      <c r="C1801" s="85"/>
      <c r="D1801" s="85"/>
      <c r="E1801" s="13"/>
      <c r="F1801" s="14" t="str">
        <f t="shared" si="108"/>
        <v/>
      </c>
      <c r="H1801" s="90">
        <f t="shared" ref="H1801:H1808" si="112">SUM(F1801:G1807)</f>
        <v>27</v>
      </c>
    </row>
    <row r="1802" spans="1:8" x14ac:dyDescent="0.25">
      <c r="A1802" s="6">
        <v>45783</v>
      </c>
      <c r="B1802" s="82" t="s">
        <v>9</v>
      </c>
      <c r="C1802" s="85">
        <v>0.25</v>
      </c>
      <c r="D1802" s="85">
        <v>0.64583333333333337</v>
      </c>
      <c r="E1802" s="13">
        <v>0.5</v>
      </c>
      <c r="F1802" s="14">
        <f t="shared" si="108"/>
        <v>9</v>
      </c>
      <c r="H1802" s="91"/>
    </row>
    <row r="1803" spans="1:8" x14ac:dyDescent="0.25">
      <c r="A1803" s="11">
        <v>45784</v>
      </c>
      <c r="B1803" s="83" t="s">
        <v>12</v>
      </c>
      <c r="C1803" s="85">
        <v>0.25</v>
      </c>
      <c r="D1803" s="85">
        <v>0.64583333333333337</v>
      </c>
      <c r="E1803" s="13">
        <v>0.5</v>
      </c>
      <c r="F1803" s="14">
        <f t="shared" si="108"/>
        <v>9</v>
      </c>
      <c r="H1803" s="91"/>
    </row>
    <row r="1804" spans="1:8" x14ac:dyDescent="0.25">
      <c r="A1804" s="6">
        <v>45785</v>
      </c>
      <c r="B1804" s="83" t="s">
        <v>12</v>
      </c>
      <c r="C1804" s="85">
        <v>0.25</v>
      </c>
      <c r="D1804" s="85">
        <v>0.64583333333333337</v>
      </c>
      <c r="E1804" s="13">
        <v>0.5</v>
      </c>
      <c r="F1804" s="14">
        <f t="shared" si="108"/>
        <v>9</v>
      </c>
      <c r="H1804" s="91"/>
    </row>
    <row r="1805" spans="1:8" x14ac:dyDescent="0.25">
      <c r="A1805" s="11">
        <v>45786</v>
      </c>
      <c r="B1805" s="87" t="s">
        <v>14</v>
      </c>
      <c r="C1805" s="85"/>
      <c r="D1805" s="85"/>
      <c r="E1805" s="13"/>
      <c r="F1805" s="14" t="str">
        <f t="shared" si="108"/>
        <v/>
      </c>
      <c r="H1805" s="91"/>
    </row>
    <row r="1806" spans="1:8" x14ac:dyDescent="0.25">
      <c r="A1806" s="6">
        <v>45787</v>
      </c>
      <c r="B1806" s="87"/>
      <c r="C1806" s="85"/>
      <c r="D1806" s="85"/>
      <c r="E1806" s="13"/>
      <c r="F1806" s="14" t="str">
        <f t="shared" si="108"/>
        <v/>
      </c>
      <c r="H1806" s="91"/>
    </row>
    <row r="1807" spans="1:8" x14ac:dyDescent="0.25">
      <c r="A1807" s="11">
        <v>45788</v>
      </c>
      <c r="B1807" s="87"/>
      <c r="C1807" s="85"/>
      <c r="D1807" s="85"/>
      <c r="E1807" s="13"/>
      <c r="F1807" s="14" t="str">
        <f t="shared" si="108"/>
        <v/>
      </c>
      <c r="H1807" s="92"/>
    </row>
    <row r="1808" spans="1:8" x14ac:dyDescent="0.25">
      <c r="A1808" s="6">
        <v>45789</v>
      </c>
      <c r="B1808" s="82" t="s">
        <v>9</v>
      </c>
      <c r="C1808" s="85">
        <v>0.25</v>
      </c>
      <c r="D1808" s="85">
        <v>0.64583333333333337</v>
      </c>
      <c r="E1808" s="13">
        <v>0.5</v>
      </c>
      <c r="F1808" s="14">
        <f t="shared" si="108"/>
        <v>9</v>
      </c>
      <c r="H1808" s="90">
        <f t="shared" si="112"/>
        <v>36</v>
      </c>
    </row>
    <row r="1809" spans="1:8" x14ac:dyDescent="0.25">
      <c r="A1809" s="11">
        <v>45790</v>
      </c>
      <c r="B1809" s="82" t="s">
        <v>9</v>
      </c>
      <c r="C1809" s="85">
        <v>0.25</v>
      </c>
      <c r="D1809" s="85">
        <v>0.6875</v>
      </c>
      <c r="E1809" s="13">
        <v>0.5</v>
      </c>
      <c r="F1809" s="14">
        <f t="shared" si="108"/>
        <v>10</v>
      </c>
      <c r="H1809" s="91"/>
    </row>
    <row r="1810" spans="1:8" x14ac:dyDescent="0.25">
      <c r="A1810" s="6">
        <v>45791</v>
      </c>
      <c r="B1810" s="83" t="s">
        <v>12</v>
      </c>
      <c r="C1810" s="85">
        <v>0.25</v>
      </c>
      <c r="D1810" s="85">
        <v>0.60416666666666663</v>
      </c>
      <c r="E1810" s="13">
        <v>0.5</v>
      </c>
      <c r="F1810" s="14">
        <f t="shared" si="108"/>
        <v>8</v>
      </c>
      <c r="H1810" s="91"/>
    </row>
    <row r="1811" spans="1:8" x14ac:dyDescent="0.25">
      <c r="A1811" s="11">
        <v>45792</v>
      </c>
      <c r="B1811" s="82" t="s">
        <v>9</v>
      </c>
      <c r="C1811" s="85">
        <v>0.25</v>
      </c>
      <c r="D1811" s="85">
        <v>0.64583333333333337</v>
      </c>
      <c r="E1811" s="13">
        <v>0.5</v>
      </c>
      <c r="F1811" s="14">
        <f t="shared" si="108"/>
        <v>9</v>
      </c>
      <c r="H1811" s="91"/>
    </row>
    <row r="1812" spans="1:8" x14ac:dyDescent="0.25">
      <c r="A1812" s="6">
        <v>45793</v>
      </c>
      <c r="B1812" s="87" t="s">
        <v>14</v>
      </c>
      <c r="C1812" s="85"/>
      <c r="D1812" s="85"/>
      <c r="E1812" s="13"/>
      <c r="F1812" s="14" t="str">
        <f t="shared" si="108"/>
        <v/>
      </c>
      <c r="H1812" s="91"/>
    </row>
    <row r="1813" spans="1:8" x14ac:dyDescent="0.25">
      <c r="A1813" s="11">
        <v>45794</v>
      </c>
      <c r="B1813" s="87"/>
      <c r="C1813" s="85"/>
      <c r="D1813" s="85"/>
      <c r="E1813" s="13"/>
      <c r="F1813" s="14" t="str">
        <f t="shared" si="108"/>
        <v/>
      </c>
      <c r="H1813" s="91"/>
    </row>
    <row r="1814" spans="1:8" x14ac:dyDescent="0.25">
      <c r="A1814" s="6">
        <v>45795</v>
      </c>
      <c r="B1814" s="87"/>
      <c r="C1814" s="85"/>
      <c r="D1814" s="85"/>
      <c r="E1814" s="13"/>
      <c r="F1814" s="14" t="str">
        <f t="shared" si="108"/>
        <v/>
      </c>
      <c r="H1814" s="92"/>
    </row>
    <row r="1815" spans="1:8" x14ac:dyDescent="0.25">
      <c r="A1815" s="11">
        <v>45796</v>
      </c>
      <c r="B1815" s="82" t="s">
        <v>9</v>
      </c>
      <c r="C1815" s="85">
        <v>0.25</v>
      </c>
      <c r="D1815" s="85">
        <v>0.64583333333333337</v>
      </c>
      <c r="E1815" s="13">
        <v>0.5</v>
      </c>
      <c r="F1815" s="14">
        <f t="shared" si="108"/>
        <v>9</v>
      </c>
      <c r="H1815" s="90">
        <f t="shared" ref="H1815" si="113">SUM(F1815:G1821)</f>
        <v>36</v>
      </c>
    </row>
    <row r="1816" spans="1:8" x14ac:dyDescent="0.25">
      <c r="A1816" s="6">
        <v>45797</v>
      </c>
      <c r="B1816" s="82" t="s">
        <v>9</v>
      </c>
      <c r="C1816" s="85">
        <v>0.25</v>
      </c>
      <c r="D1816" s="85">
        <v>0.64583333333333337</v>
      </c>
      <c r="E1816" s="13">
        <v>0.5</v>
      </c>
      <c r="F1816" s="14">
        <f t="shared" si="108"/>
        <v>9</v>
      </c>
      <c r="H1816" s="91"/>
    </row>
    <row r="1817" spans="1:8" x14ac:dyDescent="0.25">
      <c r="A1817" s="11">
        <v>45798</v>
      </c>
      <c r="B1817" s="82" t="s">
        <v>9</v>
      </c>
      <c r="C1817" s="85">
        <v>0.25</v>
      </c>
      <c r="D1817" s="85">
        <v>0.64583333333333337</v>
      </c>
      <c r="E1817" s="13">
        <v>0.5</v>
      </c>
      <c r="F1817" s="14">
        <f t="shared" si="108"/>
        <v>9</v>
      </c>
      <c r="H1817" s="91"/>
    </row>
    <row r="1818" spans="1:8" x14ac:dyDescent="0.25">
      <c r="A1818" s="6">
        <v>45799</v>
      </c>
      <c r="B1818" s="82" t="s">
        <v>9</v>
      </c>
      <c r="C1818" s="85">
        <v>0.25</v>
      </c>
      <c r="D1818" s="85">
        <v>0.64583333333333337</v>
      </c>
      <c r="E1818" s="13">
        <v>0.5</v>
      </c>
      <c r="F1818" s="14">
        <f t="shared" si="108"/>
        <v>9</v>
      </c>
      <c r="H1818" s="91"/>
    </row>
    <row r="1819" spans="1:8" x14ac:dyDescent="0.25">
      <c r="A1819" s="11">
        <v>45800</v>
      </c>
      <c r="B1819" s="87" t="s">
        <v>14</v>
      </c>
      <c r="C1819" s="85"/>
      <c r="D1819" s="85"/>
      <c r="E1819" s="13"/>
      <c r="F1819" s="14" t="str">
        <f t="shared" si="108"/>
        <v/>
      </c>
      <c r="H1819" s="91"/>
    </row>
    <row r="1820" spans="1:8" x14ac:dyDescent="0.25">
      <c r="A1820" s="6">
        <v>45801</v>
      </c>
      <c r="B1820" s="87"/>
      <c r="C1820" s="85"/>
      <c r="D1820" s="85"/>
      <c r="E1820" s="13"/>
      <c r="F1820" s="14" t="str">
        <f t="shared" ref="F1820:F1883" si="114">IF(C1820="", "", IF(D1820="", "", (D1820-C1820)*24 - E1820))</f>
        <v/>
      </c>
      <c r="H1820" s="91"/>
    </row>
    <row r="1821" spans="1:8" x14ac:dyDescent="0.25">
      <c r="A1821" s="11">
        <v>45802</v>
      </c>
      <c r="B1821" s="87"/>
      <c r="C1821" s="85"/>
      <c r="D1821" s="85"/>
      <c r="E1821" s="13"/>
      <c r="F1821" s="14" t="str">
        <f t="shared" si="114"/>
        <v/>
      </c>
      <c r="H1821" s="92"/>
    </row>
    <row r="1822" spans="1:8" x14ac:dyDescent="0.25">
      <c r="A1822" s="6">
        <v>45803</v>
      </c>
      <c r="B1822" s="82" t="s">
        <v>9</v>
      </c>
      <c r="C1822" s="85">
        <v>0.25</v>
      </c>
      <c r="D1822" s="85">
        <v>0.64583333333333337</v>
      </c>
      <c r="E1822" s="13">
        <v>0.5</v>
      </c>
      <c r="F1822" s="14">
        <f t="shared" si="114"/>
        <v>9</v>
      </c>
      <c r="H1822" s="90">
        <f t="shared" ref="H1822" si="115">SUM(F1822:G1828)</f>
        <v>27</v>
      </c>
    </row>
    <row r="1823" spans="1:8" x14ac:dyDescent="0.25">
      <c r="A1823" s="11">
        <v>45804</v>
      </c>
      <c r="B1823" s="83" t="s">
        <v>12</v>
      </c>
      <c r="C1823" s="85">
        <v>0.25</v>
      </c>
      <c r="D1823" s="85">
        <v>0.64583333333333337</v>
      </c>
      <c r="E1823" s="13">
        <v>0.5</v>
      </c>
      <c r="F1823" s="14">
        <f t="shared" si="114"/>
        <v>9</v>
      </c>
      <c r="H1823" s="91"/>
    </row>
    <row r="1824" spans="1:8" x14ac:dyDescent="0.25">
      <c r="A1824" s="6">
        <v>45805</v>
      </c>
      <c r="B1824" s="82" t="s">
        <v>9</v>
      </c>
      <c r="C1824" s="85">
        <v>0.25</v>
      </c>
      <c r="D1824" s="85">
        <v>0.64583333333333337</v>
      </c>
      <c r="E1824" s="13">
        <v>0.5</v>
      </c>
      <c r="F1824" s="14">
        <f t="shared" si="114"/>
        <v>9</v>
      </c>
      <c r="H1824" s="91"/>
    </row>
    <row r="1825" spans="1:8" x14ac:dyDescent="0.25">
      <c r="A1825" s="11">
        <v>45806</v>
      </c>
      <c r="B1825" s="87" t="s">
        <v>8</v>
      </c>
      <c r="C1825" s="85"/>
      <c r="D1825" s="85"/>
      <c r="E1825" s="13"/>
      <c r="F1825" s="14" t="str">
        <f t="shared" si="114"/>
        <v/>
      </c>
      <c r="H1825" s="91"/>
    </row>
    <row r="1826" spans="1:8" x14ac:dyDescent="0.25">
      <c r="A1826" s="6">
        <v>45807</v>
      </c>
      <c r="B1826" s="87" t="s">
        <v>14</v>
      </c>
      <c r="C1826" s="85"/>
      <c r="D1826" s="85"/>
      <c r="E1826" s="13"/>
      <c r="F1826" s="14" t="str">
        <f t="shared" si="114"/>
        <v/>
      </c>
      <c r="H1826" s="91"/>
    </row>
    <row r="1827" spans="1:8" x14ac:dyDescent="0.25">
      <c r="A1827" s="11">
        <v>45808</v>
      </c>
      <c r="B1827" s="87"/>
      <c r="C1827" s="85"/>
      <c r="D1827" s="85"/>
      <c r="E1827" s="13"/>
      <c r="F1827" s="14" t="str">
        <f t="shared" si="114"/>
        <v/>
      </c>
      <c r="H1827" s="91"/>
    </row>
    <row r="1828" spans="1:8" x14ac:dyDescent="0.25">
      <c r="A1828" s="6">
        <v>45809</v>
      </c>
      <c r="B1828" s="87"/>
      <c r="C1828" s="85"/>
      <c r="D1828" s="85"/>
      <c r="E1828" s="13"/>
      <c r="F1828" s="14" t="str">
        <f t="shared" si="114"/>
        <v/>
      </c>
      <c r="H1828" s="92"/>
    </row>
    <row r="1829" spans="1:8" x14ac:dyDescent="0.25">
      <c r="A1829" s="11">
        <v>45810</v>
      </c>
      <c r="B1829" s="87" t="s">
        <v>8</v>
      </c>
      <c r="C1829" s="85"/>
      <c r="D1829" s="85"/>
      <c r="E1829" s="13"/>
      <c r="F1829" s="14" t="str">
        <f t="shared" si="114"/>
        <v/>
      </c>
      <c r="H1829" s="90">
        <f t="shared" ref="H1829" si="116">SUM(F1829:G1835)</f>
        <v>27</v>
      </c>
    </row>
    <row r="1830" spans="1:8" x14ac:dyDescent="0.25">
      <c r="A1830" s="6">
        <v>45811</v>
      </c>
      <c r="B1830" s="83" t="s">
        <v>12</v>
      </c>
      <c r="C1830" s="85">
        <v>0.25</v>
      </c>
      <c r="D1830" s="85">
        <v>0.64583333333333337</v>
      </c>
      <c r="E1830" s="13">
        <v>0.5</v>
      </c>
      <c r="F1830" s="14">
        <f t="shared" si="114"/>
        <v>9</v>
      </c>
      <c r="H1830" s="91"/>
    </row>
    <row r="1831" spans="1:8" x14ac:dyDescent="0.25">
      <c r="A1831" s="11">
        <v>45812</v>
      </c>
      <c r="B1831" s="82" t="s">
        <v>9</v>
      </c>
      <c r="C1831" s="85">
        <v>0.25</v>
      </c>
      <c r="D1831" s="85">
        <v>0.64583333333333337</v>
      </c>
      <c r="E1831" s="13">
        <v>0.5</v>
      </c>
      <c r="F1831" s="14">
        <f t="shared" si="114"/>
        <v>9</v>
      </c>
      <c r="H1831" s="91"/>
    </row>
    <row r="1832" spans="1:8" x14ac:dyDescent="0.25">
      <c r="A1832" s="6">
        <v>45813</v>
      </c>
      <c r="B1832" s="82" t="s">
        <v>9</v>
      </c>
      <c r="C1832" s="85">
        <v>0.25</v>
      </c>
      <c r="D1832" s="85">
        <v>0.64583333333333337</v>
      </c>
      <c r="E1832" s="13">
        <v>0.5</v>
      </c>
      <c r="F1832" s="14">
        <f t="shared" si="114"/>
        <v>9</v>
      </c>
      <c r="H1832" s="91"/>
    </row>
    <row r="1833" spans="1:8" x14ac:dyDescent="0.25">
      <c r="A1833" s="11">
        <v>45814</v>
      </c>
      <c r="B1833" s="87" t="s">
        <v>14</v>
      </c>
      <c r="C1833" s="85"/>
      <c r="D1833" s="85"/>
      <c r="E1833" s="13"/>
      <c r="F1833" s="14" t="str">
        <f t="shared" si="114"/>
        <v/>
      </c>
      <c r="H1833" s="91"/>
    </row>
    <row r="1834" spans="1:8" x14ac:dyDescent="0.25">
      <c r="A1834" s="6">
        <v>45815</v>
      </c>
      <c r="B1834" s="87"/>
      <c r="C1834" s="85"/>
      <c r="D1834" s="85"/>
      <c r="E1834" s="13"/>
      <c r="F1834" s="14" t="str">
        <f t="shared" si="114"/>
        <v/>
      </c>
      <c r="H1834" s="91"/>
    </row>
    <row r="1835" spans="1:8" x14ac:dyDescent="0.25">
      <c r="A1835" s="11">
        <v>45816</v>
      </c>
      <c r="B1835" s="87"/>
      <c r="C1835" s="85"/>
      <c r="D1835" s="85"/>
      <c r="E1835" s="13"/>
      <c r="F1835" s="14" t="str">
        <f t="shared" si="114"/>
        <v/>
      </c>
      <c r="H1835" s="92"/>
    </row>
    <row r="1836" spans="1:8" x14ac:dyDescent="0.25">
      <c r="A1836" s="6">
        <v>45817</v>
      </c>
      <c r="B1836" s="82" t="s">
        <v>9</v>
      </c>
      <c r="C1836" s="85">
        <v>0.25</v>
      </c>
      <c r="D1836" s="85">
        <v>0.64583333333333337</v>
      </c>
      <c r="E1836" s="13">
        <v>0.5</v>
      </c>
      <c r="F1836" s="14">
        <f t="shared" si="114"/>
        <v>9</v>
      </c>
      <c r="H1836" s="90">
        <f t="shared" ref="H1836" si="117">SUM(F1836:G1842)</f>
        <v>36</v>
      </c>
    </row>
    <row r="1837" spans="1:8" x14ac:dyDescent="0.25">
      <c r="A1837" s="11">
        <v>45818</v>
      </c>
      <c r="B1837" s="83" t="s">
        <v>12</v>
      </c>
      <c r="C1837" s="85">
        <v>0.29166666666666669</v>
      </c>
      <c r="D1837" s="85">
        <v>0.6875</v>
      </c>
      <c r="E1837" s="13">
        <v>0.5</v>
      </c>
      <c r="F1837" s="14">
        <f t="shared" si="114"/>
        <v>9</v>
      </c>
      <c r="H1837" s="91"/>
    </row>
    <row r="1838" spans="1:8" x14ac:dyDescent="0.25">
      <c r="A1838" s="6">
        <v>45819</v>
      </c>
      <c r="B1838" s="83" t="s">
        <v>12</v>
      </c>
      <c r="C1838" s="85">
        <v>0.29166666666666669</v>
      </c>
      <c r="D1838" s="85">
        <v>0.6875</v>
      </c>
      <c r="E1838" s="13">
        <v>0.5</v>
      </c>
      <c r="F1838" s="14">
        <f t="shared" si="114"/>
        <v>9</v>
      </c>
      <c r="H1838" s="91"/>
    </row>
    <row r="1839" spans="1:8" x14ac:dyDescent="0.25">
      <c r="A1839" s="11">
        <v>45820</v>
      </c>
      <c r="B1839" s="83" t="s">
        <v>12</v>
      </c>
      <c r="C1839" s="85">
        <v>0.29166666666666669</v>
      </c>
      <c r="D1839" s="85">
        <v>0.6875</v>
      </c>
      <c r="E1839" s="13">
        <v>0.5</v>
      </c>
      <c r="F1839" s="14">
        <f t="shared" si="114"/>
        <v>9</v>
      </c>
      <c r="H1839" s="91"/>
    </row>
    <row r="1840" spans="1:8" x14ac:dyDescent="0.25">
      <c r="A1840" s="6">
        <v>45821</v>
      </c>
      <c r="B1840" s="87" t="s">
        <v>14</v>
      </c>
      <c r="C1840" s="85"/>
      <c r="D1840" s="85"/>
      <c r="E1840" s="13"/>
      <c r="F1840" s="14" t="str">
        <f t="shared" si="114"/>
        <v/>
      </c>
      <c r="H1840" s="91"/>
    </row>
    <row r="1841" spans="1:8" x14ac:dyDescent="0.25">
      <c r="A1841" s="11">
        <v>45822</v>
      </c>
      <c r="B1841" s="87"/>
      <c r="C1841" s="85"/>
      <c r="D1841" s="85"/>
      <c r="E1841" s="13"/>
      <c r="F1841" s="14" t="str">
        <f t="shared" si="114"/>
        <v/>
      </c>
      <c r="H1841" s="91"/>
    </row>
    <row r="1842" spans="1:8" x14ac:dyDescent="0.25">
      <c r="A1842" s="6">
        <v>45823</v>
      </c>
      <c r="B1842" s="87"/>
      <c r="C1842" s="85"/>
      <c r="D1842" s="85"/>
      <c r="E1842" s="13"/>
      <c r="F1842" s="14" t="str">
        <f t="shared" si="114"/>
        <v/>
      </c>
      <c r="H1842" s="92"/>
    </row>
    <row r="1843" spans="1:8" x14ac:dyDescent="0.25">
      <c r="A1843" s="11">
        <v>45824</v>
      </c>
      <c r="B1843" s="82" t="s">
        <v>9</v>
      </c>
      <c r="C1843" s="85">
        <v>0.25</v>
      </c>
      <c r="D1843" s="85">
        <v>0.64583333333333337</v>
      </c>
      <c r="E1843" s="13">
        <v>0.5</v>
      </c>
      <c r="F1843" s="14">
        <f t="shared" si="114"/>
        <v>9</v>
      </c>
      <c r="H1843" s="90">
        <f t="shared" ref="H1843:H1857" si="118">SUM(F1843:G1849)</f>
        <v>58</v>
      </c>
    </row>
    <row r="1844" spans="1:8" x14ac:dyDescent="0.25">
      <c r="A1844" s="6">
        <v>45825</v>
      </c>
      <c r="B1844" s="83" t="s">
        <v>12</v>
      </c>
      <c r="C1844" s="85">
        <v>0.29166666666666669</v>
      </c>
      <c r="D1844" s="85">
        <v>0.6875</v>
      </c>
      <c r="E1844" s="13">
        <v>0.5</v>
      </c>
      <c r="F1844" s="14">
        <f t="shared" si="114"/>
        <v>9</v>
      </c>
      <c r="H1844" s="91"/>
    </row>
    <row r="1845" spans="1:8" x14ac:dyDescent="0.25">
      <c r="A1845" s="11">
        <v>45826</v>
      </c>
      <c r="B1845" s="82" t="s">
        <v>9</v>
      </c>
      <c r="C1845" s="85">
        <v>0.25</v>
      </c>
      <c r="D1845" s="85">
        <v>0.64583333333333337</v>
      </c>
      <c r="E1845" s="13">
        <v>0.5</v>
      </c>
      <c r="F1845" s="14">
        <f t="shared" si="114"/>
        <v>9</v>
      </c>
      <c r="G1845">
        <v>1</v>
      </c>
      <c r="H1845" s="91"/>
    </row>
    <row r="1846" spans="1:8" x14ac:dyDescent="0.25">
      <c r="A1846" s="6">
        <v>45827</v>
      </c>
      <c r="B1846" s="82" t="s">
        <v>9</v>
      </c>
      <c r="C1846" s="85">
        <v>0.25</v>
      </c>
      <c r="D1846" s="85">
        <v>0.64583333333333337</v>
      </c>
      <c r="E1846" s="13">
        <v>0.5</v>
      </c>
      <c r="F1846" s="14">
        <f t="shared" si="114"/>
        <v>9</v>
      </c>
      <c r="G1846">
        <v>1</v>
      </c>
      <c r="H1846" s="91"/>
    </row>
    <row r="1847" spans="1:8" x14ac:dyDescent="0.25">
      <c r="A1847" s="11">
        <v>45828</v>
      </c>
      <c r="B1847" s="87" t="s">
        <v>14</v>
      </c>
      <c r="C1847" s="85"/>
      <c r="D1847" s="85"/>
      <c r="E1847" s="13"/>
      <c r="F1847" s="14" t="str">
        <f t="shared" si="114"/>
        <v/>
      </c>
      <c r="G1847">
        <v>1</v>
      </c>
      <c r="H1847" s="91"/>
    </row>
    <row r="1848" spans="1:8" x14ac:dyDescent="0.25">
      <c r="A1848" s="6">
        <v>45829</v>
      </c>
      <c r="B1848" s="7" t="s">
        <v>15</v>
      </c>
      <c r="C1848" s="85">
        <v>0.29166666666666669</v>
      </c>
      <c r="D1848" s="85">
        <v>0.64583333333333337</v>
      </c>
      <c r="E1848" s="13">
        <v>0.5</v>
      </c>
      <c r="F1848" s="14">
        <f t="shared" si="114"/>
        <v>8</v>
      </c>
      <c r="G1848">
        <v>2</v>
      </c>
      <c r="H1848" s="91"/>
    </row>
    <row r="1849" spans="1:8" x14ac:dyDescent="0.25">
      <c r="A1849" s="11">
        <v>45830</v>
      </c>
      <c r="B1849" s="7" t="s">
        <v>15</v>
      </c>
      <c r="C1849" s="85">
        <v>0.29166666666666669</v>
      </c>
      <c r="D1849" s="85">
        <v>0.64583333333333337</v>
      </c>
      <c r="E1849" s="13">
        <v>0.5</v>
      </c>
      <c r="F1849" s="14">
        <f t="shared" si="114"/>
        <v>8</v>
      </c>
      <c r="G1849">
        <v>1</v>
      </c>
      <c r="H1849" s="92"/>
    </row>
    <row r="1850" spans="1:8" x14ac:dyDescent="0.25">
      <c r="A1850" s="6">
        <v>45831</v>
      </c>
      <c r="B1850" s="82" t="s">
        <v>9</v>
      </c>
      <c r="C1850" s="85">
        <v>0.25</v>
      </c>
      <c r="D1850" s="85">
        <v>0.64583333333333337</v>
      </c>
      <c r="E1850" s="13">
        <v>0.5</v>
      </c>
      <c r="F1850" s="14">
        <f t="shared" si="114"/>
        <v>9</v>
      </c>
      <c r="G1850">
        <v>1</v>
      </c>
      <c r="H1850" s="90">
        <f t="shared" si="118"/>
        <v>59.5</v>
      </c>
    </row>
    <row r="1851" spans="1:8" x14ac:dyDescent="0.25">
      <c r="A1851" s="11">
        <v>45832</v>
      </c>
      <c r="B1851" s="82" t="s">
        <v>9</v>
      </c>
      <c r="C1851" s="85">
        <v>0.25</v>
      </c>
      <c r="D1851" s="85">
        <v>0.64583333333333337</v>
      </c>
      <c r="E1851" s="13">
        <v>0.5</v>
      </c>
      <c r="F1851" s="14">
        <f t="shared" si="114"/>
        <v>9</v>
      </c>
      <c r="G1851">
        <v>1</v>
      </c>
      <c r="H1851" s="91"/>
    </row>
    <row r="1852" spans="1:8" x14ac:dyDescent="0.25">
      <c r="A1852" s="6">
        <v>45833</v>
      </c>
      <c r="B1852" s="82" t="s">
        <v>9</v>
      </c>
      <c r="C1852" s="85">
        <v>0.25</v>
      </c>
      <c r="D1852" s="85">
        <v>0.64583333333333337</v>
      </c>
      <c r="E1852" s="13">
        <v>0.5</v>
      </c>
      <c r="F1852" s="14">
        <f t="shared" si="114"/>
        <v>9</v>
      </c>
      <c r="G1852">
        <v>1</v>
      </c>
      <c r="H1852" s="91"/>
    </row>
    <row r="1853" spans="1:8" x14ac:dyDescent="0.25">
      <c r="A1853" s="11">
        <v>45834</v>
      </c>
      <c r="B1853" s="83" t="s">
        <v>12</v>
      </c>
      <c r="C1853" s="85">
        <v>0.29166666666666669</v>
      </c>
      <c r="D1853" s="85">
        <v>0.6875</v>
      </c>
      <c r="E1853" s="13">
        <v>0.5</v>
      </c>
      <c r="F1853" s="14">
        <f t="shared" si="114"/>
        <v>9</v>
      </c>
      <c r="G1853">
        <v>1</v>
      </c>
      <c r="H1853" s="91"/>
    </row>
    <row r="1854" spans="1:8" x14ac:dyDescent="0.25">
      <c r="A1854" s="6">
        <v>45835</v>
      </c>
      <c r="B1854" s="87" t="s">
        <v>14</v>
      </c>
      <c r="C1854" s="85"/>
      <c r="D1854" s="85"/>
      <c r="E1854" s="13"/>
      <c r="F1854" s="14" t="str">
        <f t="shared" si="114"/>
        <v/>
      </c>
      <c r="H1854" s="91"/>
    </row>
    <row r="1855" spans="1:8" x14ac:dyDescent="0.25">
      <c r="A1855" s="11">
        <v>45836</v>
      </c>
      <c r="B1855" s="7" t="s">
        <v>15</v>
      </c>
      <c r="C1855" s="85">
        <v>0.29166666666666669</v>
      </c>
      <c r="D1855" s="85">
        <v>0.64583333333333337</v>
      </c>
      <c r="E1855" s="13">
        <v>0.5</v>
      </c>
      <c r="F1855" s="14">
        <f t="shared" si="114"/>
        <v>8</v>
      </c>
      <c r="H1855" s="91"/>
    </row>
    <row r="1856" spans="1:8" x14ac:dyDescent="0.25">
      <c r="A1856" s="6">
        <v>45837</v>
      </c>
      <c r="B1856" s="7" t="s">
        <v>15</v>
      </c>
      <c r="C1856" s="85">
        <v>0.29166666666666669</v>
      </c>
      <c r="D1856" s="85">
        <v>0.64583333333333337</v>
      </c>
      <c r="E1856" s="13">
        <v>0.5</v>
      </c>
      <c r="F1856" s="14">
        <f t="shared" si="114"/>
        <v>8</v>
      </c>
      <c r="G1856">
        <v>3.5</v>
      </c>
      <c r="H1856" s="92"/>
    </row>
    <row r="1857" spans="1:8" x14ac:dyDescent="0.25">
      <c r="A1857" s="11">
        <v>45838</v>
      </c>
      <c r="B1857" s="82" t="s">
        <v>9</v>
      </c>
      <c r="C1857" s="85">
        <v>0.25</v>
      </c>
      <c r="D1857" s="85">
        <v>0.64583333333333337</v>
      </c>
      <c r="E1857" s="13">
        <v>0.5</v>
      </c>
      <c r="F1857" s="14">
        <f t="shared" si="114"/>
        <v>9</v>
      </c>
      <c r="H1857" s="90">
        <f t="shared" si="118"/>
        <v>57</v>
      </c>
    </row>
    <row r="1858" spans="1:8" x14ac:dyDescent="0.25">
      <c r="A1858" s="53">
        <v>45839</v>
      </c>
      <c r="B1858" s="82" t="s">
        <v>9</v>
      </c>
      <c r="C1858" s="85">
        <v>0.25</v>
      </c>
      <c r="D1858" s="85">
        <v>0.64583333333333337</v>
      </c>
      <c r="E1858" s="13">
        <v>0.5</v>
      </c>
      <c r="F1858" s="14">
        <f t="shared" si="114"/>
        <v>9</v>
      </c>
      <c r="H1858" s="91"/>
    </row>
    <row r="1859" spans="1:8" x14ac:dyDescent="0.25">
      <c r="A1859" s="11">
        <v>45840</v>
      </c>
      <c r="B1859" s="82" t="s">
        <v>9</v>
      </c>
      <c r="C1859" s="85">
        <v>0.25</v>
      </c>
      <c r="D1859" s="85">
        <v>0.64583333333333337</v>
      </c>
      <c r="E1859" s="13">
        <v>0.5</v>
      </c>
      <c r="F1859" s="14">
        <f t="shared" si="114"/>
        <v>9</v>
      </c>
      <c r="H1859" s="91"/>
    </row>
    <row r="1860" spans="1:8" x14ac:dyDescent="0.25">
      <c r="A1860" s="6">
        <v>45841</v>
      </c>
      <c r="B1860" s="83" t="s">
        <v>12</v>
      </c>
      <c r="C1860" s="85">
        <v>0.25</v>
      </c>
      <c r="D1860" s="85">
        <v>0.64583333333333337</v>
      </c>
      <c r="E1860" s="13">
        <v>0.5</v>
      </c>
      <c r="F1860" s="14">
        <f t="shared" si="114"/>
        <v>9</v>
      </c>
      <c r="G1860">
        <v>1</v>
      </c>
      <c r="H1860" s="91"/>
    </row>
    <row r="1861" spans="1:8" x14ac:dyDescent="0.25">
      <c r="A1861" s="11">
        <v>45842</v>
      </c>
      <c r="B1861" s="87" t="s">
        <v>14</v>
      </c>
      <c r="C1861" s="85"/>
      <c r="D1861" s="85"/>
      <c r="E1861" s="13"/>
      <c r="F1861" s="14" t="str">
        <f t="shared" si="114"/>
        <v/>
      </c>
      <c r="H1861" s="91"/>
    </row>
    <row r="1862" spans="1:8" x14ac:dyDescent="0.25">
      <c r="A1862" s="6">
        <v>45843</v>
      </c>
      <c r="B1862" s="7" t="s">
        <v>15</v>
      </c>
      <c r="C1862" s="85">
        <v>0.29166666666666669</v>
      </c>
      <c r="D1862" s="85">
        <v>0.64583333333333337</v>
      </c>
      <c r="E1862" s="13">
        <v>0.5</v>
      </c>
      <c r="F1862" s="14">
        <f t="shared" si="114"/>
        <v>8</v>
      </c>
      <c r="G1862">
        <v>3.5</v>
      </c>
      <c r="H1862" s="91"/>
    </row>
    <row r="1863" spans="1:8" x14ac:dyDescent="0.25">
      <c r="A1863" s="11">
        <v>45844</v>
      </c>
      <c r="B1863" s="7" t="s">
        <v>15</v>
      </c>
      <c r="C1863" s="85">
        <v>0.29166666666666669</v>
      </c>
      <c r="D1863" s="85">
        <v>0.64583333333333337</v>
      </c>
      <c r="E1863" s="13">
        <v>0.5</v>
      </c>
      <c r="F1863" s="14">
        <f t="shared" si="114"/>
        <v>8</v>
      </c>
      <c r="G1863">
        <v>0.5</v>
      </c>
      <c r="H1863" s="92"/>
    </row>
    <row r="1864" spans="1:8" x14ac:dyDescent="0.25">
      <c r="A1864" s="6">
        <v>45845</v>
      </c>
      <c r="B1864" s="82" t="s">
        <v>9</v>
      </c>
      <c r="C1864" s="85">
        <v>0.25</v>
      </c>
      <c r="D1864" s="85">
        <v>0.64583333333333337</v>
      </c>
      <c r="E1864" s="13">
        <v>0.5</v>
      </c>
      <c r="F1864" s="14">
        <f t="shared" si="114"/>
        <v>9</v>
      </c>
      <c r="H1864" s="90">
        <f t="shared" ref="H1864" si="119">SUM(F1864:G1870)</f>
        <v>43</v>
      </c>
    </row>
    <row r="1865" spans="1:8" x14ac:dyDescent="0.25">
      <c r="A1865" s="11">
        <v>45846</v>
      </c>
      <c r="B1865" s="87" t="s">
        <v>8</v>
      </c>
      <c r="C1865" s="85"/>
      <c r="D1865" s="85"/>
      <c r="E1865" s="13"/>
      <c r="F1865" s="14" t="str">
        <f t="shared" si="114"/>
        <v/>
      </c>
      <c r="H1865" s="91"/>
    </row>
    <row r="1866" spans="1:8" x14ac:dyDescent="0.25">
      <c r="A1866" s="6">
        <v>45847</v>
      </c>
      <c r="B1866" s="82" t="s">
        <v>9</v>
      </c>
      <c r="C1866" s="85">
        <v>0.25</v>
      </c>
      <c r="D1866" s="85">
        <v>0.64583333333333337</v>
      </c>
      <c r="E1866" s="13">
        <v>0.5</v>
      </c>
      <c r="F1866" s="14">
        <f t="shared" si="114"/>
        <v>9</v>
      </c>
      <c r="H1866" s="91"/>
    </row>
    <row r="1867" spans="1:8" x14ac:dyDescent="0.25">
      <c r="A1867" s="11">
        <v>45848</v>
      </c>
      <c r="B1867" s="82" t="s">
        <v>9</v>
      </c>
      <c r="C1867" s="85">
        <v>0.25</v>
      </c>
      <c r="D1867" s="85">
        <v>0.64583333333333337</v>
      </c>
      <c r="E1867" s="13">
        <v>0.5</v>
      </c>
      <c r="F1867" s="14">
        <f t="shared" si="114"/>
        <v>9</v>
      </c>
      <c r="H1867" s="91"/>
    </row>
    <row r="1868" spans="1:8" x14ac:dyDescent="0.25">
      <c r="A1868" s="6">
        <v>45849</v>
      </c>
      <c r="B1868" s="87" t="s">
        <v>14</v>
      </c>
      <c r="C1868" s="85"/>
      <c r="D1868" s="85"/>
      <c r="E1868" s="13"/>
      <c r="F1868" s="14" t="str">
        <f t="shared" si="114"/>
        <v/>
      </c>
      <c r="H1868" s="91"/>
    </row>
    <row r="1869" spans="1:8" x14ac:dyDescent="0.25">
      <c r="A1869" s="11">
        <v>45850</v>
      </c>
      <c r="B1869" s="7" t="s">
        <v>15</v>
      </c>
      <c r="C1869" s="85">
        <v>0.29166666666666669</v>
      </c>
      <c r="D1869" s="85">
        <v>0.64583333333333337</v>
      </c>
      <c r="E1869" s="13">
        <v>0.5</v>
      </c>
      <c r="F1869" s="14">
        <f t="shared" si="114"/>
        <v>8</v>
      </c>
      <c r="H1869" s="91"/>
    </row>
    <row r="1870" spans="1:8" x14ac:dyDescent="0.25">
      <c r="A1870" s="6">
        <v>45851</v>
      </c>
      <c r="B1870" s="7" t="s">
        <v>15</v>
      </c>
      <c r="C1870" s="85">
        <v>0.29166666666666669</v>
      </c>
      <c r="D1870" s="85">
        <v>0.64583333333333337</v>
      </c>
      <c r="E1870" s="13">
        <v>0.5</v>
      </c>
      <c r="F1870" s="14">
        <f t="shared" si="114"/>
        <v>8</v>
      </c>
      <c r="H1870" s="92"/>
    </row>
    <row r="1871" spans="1:8" x14ac:dyDescent="0.25">
      <c r="A1871" s="11">
        <v>45852</v>
      </c>
      <c r="B1871" s="82" t="s">
        <v>9</v>
      </c>
      <c r="C1871" s="85">
        <v>0.25</v>
      </c>
      <c r="D1871" s="85">
        <v>0.64583333333333337</v>
      </c>
      <c r="E1871" s="13">
        <v>0.5</v>
      </c>
      <c r="F1871" s="14">
        <f t="shared" si="114"/>
        <v>9</v>
      </c>
      <c r="H1871" s="90">
        <f>SUM(F1871:G1877)</f>
        <v>36</v>
      </c>
    </row>
    <row r="1872" spans="1:8" x14ac:dyDescent="0.25">
      <c r="A1872" s="6">
        <v>45853</v>
      </c>
      <c r="B1872" s="82" t="s">
        <v>9</v>
      </c>
      <c r="C1872" s="85">
        <v>0.25</v>
      </c>
      <c r="D1872" s="85">
        <v>0.64583333333333337</v>
      </c>
      <c r="E1872" s="13">
        <v>0.5</v>
      </c>
      <c r="F1872" s="14">
        <f t="shared" si="114"/>
        <v>9</v>
      </c>
      <c r="H1872" s="91"/>
    </row>
    <row r="1873" spans="1:8" x14ac:dyDescent="0.25">
      <c r="A1873" s="11">
        <v>45854</v>
      </c>
      <c r="B1873" s="83" t="s">
        <v>12</v>
      </c>
      <c r="C1873" s="85">
        <v>0.25</v>
      </c>
      <c r="D1873" s="85">
        <v>0.64583333333333337</v>
      </c>
      <c r="E1873" s="13">
        <v>0.5</v>
      </c>
      <c r="F1873" s="14">
        <f t="shared" si="114"/>
        <v>9</v>
      </c>
      <c r="H1873" s="91"/>
    </row>
    <row r="1874" spans="1:8" x14ac:dyDescent="0.25">
      <c r="A1874" s="6">
        <v>45855</v>
      </c>
      <c r="B1874" s="82" t="s">
        <v>9</v>
      </c>
      <c r="C1874" s="85">
        <v>0.25</v>
      </c>
      <c r="D1874" s="85">
        <v>0.64583333333333337</v>
      </c>
      <c r="E1874" s="13">
        <v>0.5</v>
      </c>
      <c r="F1874" s="14">
        <f t="shared" si="114"/>
        <v>9</v>
      </c>
      <c r="H1874" s="91"/>
    </row>
    <row r="1875" spans="1:8" x14ac:dyDescent="0.25">
      <c r="A1875" s="11">
        <v>45856</v>
      </c>
      <c r="B1875" s="87" t="s">
        <v>14</v>
      </c>
      <c r="C1875" s="85"/>
      <c r="D1875" s="85"/>
      <c r="E1875" s="13"/>
      <c r="F1875" s="14" t="str">
        <f t="shared" si="114"/>
        <v/>
      </c>
      <c r="H1875" s="91"/>
    </row>
    <row r="1876" spans="1:8" x14ac:dyDescent="0.25">
      <c r="A1876" s="6">
        <v>45857</v>
      </c>
      <c r="B1876" s="86"/>
      <c r="C1876" s="85"/>
      <c r="D1876" s="85"/>
      <c r="E1876" s="13"/>
      <c r="F1876" s="14" t="str">
        <f t="shared" si="114"/>
        <v/>
      </c>
      <c r="H1876" s="91"/>
    </row>
    <row r="1877" spans="1:8" x14ac:dyDescent="0.25">
      <c r="A1877" s="11">
        <v>45858</v>
      </c>
      <c r="B1877" s="87"/>
      <c r="C1877" s="85"/>
      <c r="D1877" s="85"/>
      <c r="E1877" s="13"/>
      <c r="F1877" s="14" t="str">
        <f t="shared" si="114"/>
        <v/>
      </c>
      <c r="H1877" s="92"/>
    </row>
    <row r="1878" spans="1:8" x14ac:dyDescent="0.25">
      <c r="A1878" s="6">
        <v>45859</v>
      </c>
      <c r="B1878" s="83" t="s">
        <v>12</v>
      </c>
      <c r="C1878" s="85">
        <v>0.25</v>
      </c>
      <c r="D1878" s="85">
        <v>0.64583333333333337</v>
      </c>
      <c r="E1878" s="13">
        <v>0.5</v>
      </c>
      <c r="F1878" s="14">
        <f t="shared" si="114"/>
        <v>9</v>
      </c>
      <c r="H1878" s="90">
        <f>SUM(F1878:G1884)</f>
        <v>36</v>
      </c>
    </row>
    <row r="1879" spans="1:8" x14ac:dyDescent="0.25">
      <c r="A1879" s="11">
        <v>45860</v>
      </c>
      <c r="B1879" s="82" t="s">
        <v>9</v>
      </c>
      <c r="C1879" s="85">
        <v>0.25</v>
      </c>
      <c r="D1879" s="85">
        <v>0.64583333333333337</v>
      </c>
      <c r="E1879" s="13">
        <v>0.5</v>
      </c>
      <c r="F1879" s="14">
        <f t="shared" si="114"/>
        <v>9</v>
      </c>
      <c r="H1879" s="91"/>
    </row>
    <row r="1880" spans="1:8" x14ac:dyDescent="0.25">
      <c r="A1880" s="6">
        <v>45861</v>
      </c>
      <c r="B1880" s="82" t="s">
        <v>9</v>
      </c>
      <c r="C1880" s="85">
        <v>0.25</v>
      </c>
      <c r="D1880" s="85">
        <v>0.64583333333333337</v>
      </c>
      <c r="E1880" s="13">
        <v>0.5</v>
      </c>
      <c r="F1880" s="14">
        <f t="shared" si="114"/>
        <v>9</v>
      </c>
      <c r="H1880" s="91"/>
    </row>
    <row r="1881" spans="1:8" x14ac:dyDescent="0.25">
      <c r="A1881" s="11">
        <v>45862</v>
      </c>
      <c r="B1881" s="82" t="s">
        <v>9</v>
      </c>
      <c r="C1881" s="85">
        <v>0.25</v>
      </c>
      <c r="D1881" s="85">
        <v>0.64583333333333337</v>
      </c>
      <c r="E1881" s="13">
        <v>0.5</v>
      </c>
      <c r="F1881" s="14">
        <f t="shared" si="114"/>
        <v>9</v>
      </c>
      <c r="H1881" s="91"/>
    </row>
    <row r="1882" spans="1:8" x14ac:dyDescent="0.25">
      <c r="A1882" s="6">
        <v>45863</v>
      </c>
      <c r="B1882" s="87" t="s">
        <v>14</v>
      </c>
      <c r="C1882" s="85"/>
      <c r="D1882" s="85"/>
      <c r="E1882" s="13"/>
      <c r="F1882" s="14" t="str">
        <f t="shared" si="114"/>
        <v/>
      </c>
      <c r="H1882" s="91"/>
    </row>
    <row r="1883" spans="1:8" x14ac:dyDescent="0.25">
      <c r="A1883" s="11">
        <v>45864</v>
      </c>
      <c r="B1883" s="87"/>
      <c r="C1883" s="85"/>
      <c r="D1883" s="85"/>
      <c r="E1883" s="13"/>
      <c r="F1883" s="14" t="str">
        <f t="shared" si="114"/>
        <v/>
      </c>
      <c r="H1883" s="91"/>
    </row>
    <row r="1884" spans="1:8" x14ac:dyDescent="0.25">
      <c r="A1884" s="6">
        <v>45865</v>
      </c>
      <c r="B1884" s="87"/>
      <c r="C1884" s="85"/>
      <c r="D1884" s="85"/>
      <c r="E1884" s="13"/>
      <c r="F1884" s="14" t="str">
        <f t="shared" ref="F1884:F1947" si="120">IF(C1884="", "", IF(D1884="", "", (D1884-C1884)*24 - E1884))</f>
        <v/>
      </c>
      <c r="H1884" s="92"/>
    </row>
    <row r="1885" spans="1:8" x14ac:dyDescent="0.25">
      <c r="A1885" s="11">
        <v>45866</v>
      </c>
      <c r="B1885" s="82" t="s">
        <v>9</v>
      </c>
      <c r="C1885" s="85">
        <v>0.25</v>
      </c>
      <c r="D1885" s="85">
        <v>0.64583333333333337</v>
      </c>
      <c r="E1885" s="13">
        <v>0.5</v>
      </c>
      <c r="F1885" s="14">
        <f t="shared" si="120"/>
        <v>9</v>
      </c>
      <c r="H1885" s="90">
        <f>SUM(F1885:G1891)</f>
        <v>36</v>
      </c>
    </row>
    <row r="1886" spans="1:8" x14ac:dyDescent="0.25">
      <c r="A1886" s="6">
        <v>45867</v>
      </c>
      <c r="B1886" s="82" t="s">
        <v>9</v>
      </c>
      <c r="C1886" s="85">
        <v>0.25</v>
      </c>
      <c r="D1886" s="85">
        <v>0.64583333333333337</v>
      </c>
      <c r="E1886" s="13">
        <v>0.5</v>
      </c>
      <c r="F1886" s="14">
        <f t="shared" si="120"/>
        <v>9</v>
      </c>
      <c r="H1886" s="91"/>
    </row>
    <row r="1887" spans="1:8" x14ac:dyDescent="0.25">
      <c r="A1887" s="11">
        <v>45868</v>
      </c>
      <c r="B1887" s="82" t="s">
        <v>9</v>
      </c>
      <c r="C1887" s="85">
        <v>0.25</v>
      </c>
      <c r="D1887" s="85">
        <v>0.64583333333333337</v>
      </c>
      <c r="E1887" s="13">
        <v>0.5</v>
      </c>
      <c r="F1887" s="14">
        <f t="shared" si="120"/>
        <v>9</v>
      </c>
      <c r="H1887" s="91"/>
    </row>
    <row r="1888" spans="1:8" x14ac:dyDescent="0.25">
      <c r="A1888" s="6">
        <v>45869</v>
      </c>
      <c r="B1888" s="83" t="s">
        <v>12</v>
      </c>
      <c r="C1888" s="85">
        <v>0.25</v>
      </c>
      <c r="D1888" s="85">
        <v>0.64583333333333337</v>
      </c>
      <c r="E1888" s="13">
        <v>0.5</v>
      </c>
      <c r="F1888" s="14">
        <f t="shared" si="120"/>
        <v>9</v>
      </c>
      <c r="H1888" s="91"/>
    </row>
    <row r="1889" spans="1:8" x14ac:dyDescent="0.25">
      <c r="A1889" s="11">
        <v>45870</v>
      </c>
      <c r="B1889" s="87" t="s">
        <v>14</v>
      </c>
      <c r="C1889" s="85"/>
      <c r="D1889" s="85"/>
      <c r="E1889" s="13"/>
      <c r="F1889" s="14" t="str">
        <f t="shared" si="120"/>
        <v/>
      </c>
      <c r="H1889" s="91"/>
    </row>
    <row r="1890" spans="1:8" x14ac:dyDescent="0.25">
      <c r="A1890" s="6">
        <v>45871</v>
      </c>
      <c r="B1890" s="87"/>
      <c r="C1890" s="85"/>
      <c r="D1890" s="85"/>
      <c r="E1890" s="13"/>
      <c r="F1890" s="14" t="str">
        <f t="shared" si="120"/>
        <v/>
      </c>
      <c r="H1890" s="91"/>
    </row>
    <row r="1891" spans="1:8" x14ac:dyDescent="0.25">
      <c r="A1891" s="11">
        <v>45872</v>
      </c>
      <c r="B1891" s="87"/>
      <c r="C1891" s="85"/>
      <c r="D1891" s="85"/>
      <c r="E1891" s="13"/>
      <c r="F1891" s="14" t="str">
        <f t="shared" si="120"/>
        <v/>
      </c>
      <c r="H1891" s="92"/>
    </row>
    <row r="1892" spans="1:8" x14ac:dyDescent="0.25">
      <c r="A1892" s="6">
        <v>45873</v>
      </c>
      <c r="B1892" s="82" t="s">
        <v>9</v>
      </c>
      <c r="C1892" s="85">
        <v>0.25</v>
      </c>
      <c r="D1892" s="85">
        <v>0.64583333333333337</v>
      </c>
      <c r="E1892" s="13">
        <v>0.5</v>
      </c>
      <c r="F1892" s="14">
        <f t="shared" si="120"/>
        <v>9</v>
      </c>
      <c r="H1892" s="90">
        <f>SUM(F1892:G1898)</f>
        <v>36</v>
      </c>
    </row>
    <row r="1893" spans="1:8" x14ac:dyDescent="0.25">
      <c r="A1893" s="11">
        <v>45874</v>
      </c>
      <c r="B1893" s="83" t="s">
        <v>12</v>
      </c>
      <c r="C1893" s="85">
        <v>0.25</v>
      </c>
      <c r="D1893" s="85">
        <v>0.64583333333333337</v>
      </c>
      <c r="E1893" s="13">
        <v>0.5</v>
      </c>
      <c r="F1893" s="14">
        <f t="shared" si="120"/>
        <v>9</v>
      </c>
      <c r="H1893" s="91"/>
    </row>
    <row r="1894" spans="1:8" x14ac:dyDescent="0.25">
      <c r="A1894" s="6">
        <v>45875</v>
      </c>
      <c r="B1894" s="82" t="s">
        <v>9</v>
      </c>
      <c r="C1894" s="85">
        <v>0.25</v>
      </c>
      <c r="D1894" s="85">
        <v>0.64583333333333337</v>
      </c>
      <c r="E1894" s="13">
        <v>0.5</v>
      </c>
      <c r="F1894" s="14">
        <f t="shared" si="120"/>
        <v>9</v>
      </c>
      <c r="H1894" s="91"/>
    </row>
    <row r="1895" spans="1:8" x14ac:dyDescent="0.25">
      <c r="A1895" s="11">
        <v>45876</v>
      </c>
      <c r="B1895" s="82" t="s">
        <v>9</v>
      </c>
      <c r="C1895" s="85">
        <v>0.25</v>
      </c>
      <c r="D1895" s="85">
        <v>0.64583333333333337</v>
      </c>
      <c r="E1895" s="13">
        <v>0.5</v>
      </c>
      <c r="F1895" s="14">
        <f t="shared" si="120"/>
        <v>9</v>
      </c>
      <c r="H1895" s="91"/>
    </row>
    <row r="1896" spans="1:8" x14ac:dyDescent="0.25">
      <c r="A1896" s="6">
        <v>45877</v>
      </c>
      <c r="B1896" s="87" t="s">
        <v>14</v>
      </c>
      <c r="C1896" s="85"/>
      <c r="D1896" s="85"/>
      <c r="E1896" s="13"/>
      <c r="F1896" s="14" t="str">
        <f t="shared" si="120"/>
        <v/>
      </c>
      <c r="H1896" s="91"/>
    </row>
    <row r="1897" spans="1:8" x14ac:dyDescent="0.25">
      <c r="A1897" s="11">
        <v>45878</v>
      </c>
      <c r="B1897" s="87"/>
      <c r="C1897" s="85"/>
      <c r="D1897" s="85"/>
      <c r="E1897" s="13"/>
      <c r="F1897" s="14" t="str">
        <f t="shared" si="120"/>
        <v/>
      </c>
      <c r="H1897" s="91"/>
    </row>
    <row r="1898" spans="1:8" x14ac:dyDescent="0.25">
      <c r="A1898" s="6">
        <v>45879</v>
      </c>
      <c r="B1898" s="87"/>
      <c r="C1898" s="85"/>
      <c r="D1898" s="85"/>
      <c r="E1898" s="13"/>
      <c r="F1898" s="14" t="str">
        <f t="shared" si="120"/>
        <v/>
      </c>
      <c r="H1898" s="92"/>
    </row>
    <row r="1899" spans="1:8" x14ac:dyDescent="0.25">
      <c r="A1899" s="11">
        <v>45880</v>
      </c>
      <c r="B1899" s="82" t="s">
        <v>9</v>
      </c>
      <c r="C1899" s="85">
        <v>0.25</v>
      </c>
      <c r="D1899" s="85">
        <v>0.66666666666666663</v>
      </c>
      <c r="E1899" s="13">
        <v>0.5</v>
      </c>
      <c r="F1899" s="14">
        <f t="shared" si="120"/>
        <v>9.5</v>
      </c>
      <c r="H1899" s="90">
        <f>SUM(F1899:G1905)</f>
        <v>37.5</v>
      </c>
    </row>
    <row r="1900" spans="1:8" x14ac:dyDescent="0.25">
      <c r="A1900" s="6">
        <v>45881</v>
      </c>
      <c r="B1900" s="82" t="s">
        <v>9</v>
      </c>
      <c r="C1900" s="85">
        <v>0.25</v>
      </c>
      <c r="D1900" s="85">
        <v>0.66666666666666663</v>
      </c>
      <c r="E1900" s="13">
        <v>0.5</v>
      </c>
      <c r="F1900" s="14">
        <f t="shared" si="120"/>
        <v>9.5</v>
      </c>
      <c r="H1900" s="91"/>
    </row>
    <row r="1901" spans="1:8" x14ac:dyDescent="0.25">
      <c r="A1901" s="11">
        <v>45882</v>
      </c>
      <c r="B1901" s="83" t="s">
        <v>12</v>
      </c>
      <c r="C1901" s="85">
        <v>0.25</v>
      </c>
      <c r="D1901" s="85">
        <v>0.66666666666666663</v>
      </c>
      <c r="E1901" s="13">
        <v>0.5</v>
      </c>
      <c r="F1901" s="14">
        <f t="shared" si="120"/>
        <v>9.5</v>
      </c>
      <c r="H1901" s="91"/>
    </row>
    <row r="1902" spans="1:8" x14ac:dyDescent="0.25">
      <c r="A1902" s="6">
        <v>45883</v>
      </c>
      <c r="B1902" s="82" t="s">
        <v>9</v>
      </c>
      <c r="C1902" s="85">
        <v>0.25</v>
      </c>
      <c r="D1902" s="85">
        <v>0.64583333333333337</v>
      </c>
      <c r="E1902" s="13">
        <v>0.5</v>
      </c>
      <c r="F1902" s="14">
        <f t="shared" si="120"/>
        <v>9</v>
      </c>
      <c r="H1902" s="91"/>
    </row>
    <row r="1903" spans="1:8" x14ac:dyDescent="0.25">
      <c r="A1903" s="11">
        <v>45884</v>
      </c>
      <c r="B1903" s="87" t="s">
        <v>14</v>
      </c>
      <c r="C1903" s="85"/>
      <c r="D1903" s="85"/>
      <c r="E1903" s="13"/>
      <c r="F1903" s="14" t="str">
        <f t="shared" si="120"/>
        <v/>
      </c>
      <c r="H1903" s="91"/>
    </row>
    <row r="1904" spans="1:8" x14ac:dyDescent="0.25">
      <c r="A1904" s="6">
        <v>45885</v>
      </c>
      <c r="B1904" s="87"/>
      <c r="C1904" s="85"/>
      <c r="D1904" s="85"/>
      <c r="E1904" s="13"/>
      <c r="F1904" s="14" t="str">
        <f t="shared" si="120"/>
        <v/>
      </c>
      <c r="H1904" s="91"/>
    </row>
    <row r="1905" spans="1:8" x14ac:dyDescent="0.25">
      <c r="A1905" s="11">
        <v>45886</v>
      </c>
      <c r="B1905" s="87"/>
      <c r="C1905" s="85"/>
      <c r="D1905" s="85"/>
      <c r="E1905" s="13"/>
      <c r="F1905" s="14" t="str">
        <f t="shared" si="120"/>
        <v/>
      </c>
      <c r="H1905" s="92"/>
    </row>
    <row r="1906" spans="1:8" x14ac:dyDescent="0.25">
      <c r="A1906" s="6">
        <v>45887</v>
      </c>
      <c r="B1906" s="82" t="s">
        <v>9</v>
      </c>
      <c r="C1906" s="85">
        <v>0.25</v>
      </c>
      <c r="D1906" s="85">
        <v>0.64583333333333337</v>
      </c>
      <c r="E1906" s="13">
        <v>0.5</v>
      </c>
      <c r="F1906" s="14">
        <f t="shared" si="120"/>
        <v>9</v>
      </c>
      <c r="H1906" s="90">
        <f>SUM(F1906:G1912)</f>
        <v>36.5</v>
      </c>
    </row>
    <row r="1907" spans="1:8" x14ac:dyDescent="0.25">
      <c r="A1907" s="11">
        <v>45888</v>
      </c>
      <c r="B1907" s="82" t="s">
        <v>9</v>
      </c>
      <c r="C1907" s="85">
        <v>0.25</v>
      </c>
      <c r="D1907" s="85">
        <v>0.64583333333333337</v>
      </c>
      <c r="E1907" s="13">
        <v>0.5</v>
      </c>
      <c r="F1907" s="14">
        <f t="shared" si="120"/>
        <v>9</v>
      </c>
      <c r="H1907" s="91"/>
    </row>
    <row r="1908" spans="1:8" x14ac:dyDescent="0.25">
      <c r="A1908" s="6">
        <v>45889</v>
      </c>
      <c r="B1908" s="83" t="s">
        <v>12</v>
      </c>
      <c r="C1908" s="85">
        <v>0.25</v>
      </c>
      <c r="D1908" s="85">
        <v>0.66666666666666663</v>
      </c>
      <c r="E1908" s="13">
        <v>0.5</v>
      </c>
      <c r="F1908" s="14">
        <f t="shared" si="120"/>
        <v>9.5</v>
      </c>
      <c r="H1908" s="91"/>
    </row>
    <row r="1909" spans="1:8" x14ac:dyDescent="0.25">
      <c r="A1909" s="11">
        <v>45890</v>
      </c>
      <c r="B1909" s="82" t="s">
        <v>9</v>
      </c>
      <c r="C1909" s="85">
        <v>0.25</v>
      </c>
      <c r="D1909" s="85">
        <v>0.64583333333333337</v>
      </c>
      <c r="E1909" s="13">
        <v>0.5</v>
      </c>
      <c r="F1909" s="14">
        <f t="shared" si="120"/>
        <v>9</v>
      </c>
      <c r="H1909" s="91"/>
    </row>
    <row r="1910" spans="1:8" x14ac:dyDescent="0.25">
      <c r="A1910" s="6">
        <v>45891</v>
      </c>
      <c r="B1910" s="87" t="s">
        <v>14</v>
      </c>
      <c r="C1910" s="85"/>
      <c r="D1910" s="85"/>
      <c r="E1910" s="13"/>
      <c r="F1910" s="14" t="str">
        <f t="shared" si="120"/>
        <v/>
      </c>
      <c r="H1910" s="91"/>
    </row>
    <row r="1911" spans="1:8" x14ac:dyDescent="0.25">
      <c r="A1911" s="11">
        <v>45892</v>
      </c>
      <c r="B1911" s="87"/>
      <c r="C1911" s="85"/>
      <c r="D1911" s="85"/>
      <c r="E1911" s="13"/>
      <c r="F1911" s="14" t="str">
        <f t="shared" si="120"/>
        <v/>
      </c>
      <c r="H1911" s="91"/>
    </row>
    <row r="1912" spans="1:8" x14ac:dyDescent="0.25">
      <c r="A1912" s="6">
        <v>45893</v>
      </c>
      <c r="B1912" s="87"/>
      <c r="C1912" s="85"/>
      <c r="D1912" s="85"/>
      <c r="E1912" s="13"/>
      <c r="F1912" s="14" t="str">
        <f t="shared" si="120"/>
        <v/>
      </c>
      <c r="H1912" s="92"/>
    </row>
    <row r="1913" spans="1:8" x14ac:dyDescent="0.25">
      <c r="A1913" s="11">
        <v>45894</v>
      </c>
      <c r="B1913" s="87" t="s">
        <v>8</v>
      </c>
      <c r="C1913" s="85"/>
      <c r="D1913" s="85"/>
      <c r="E1913" s="13"/>
      <c r="F1913" s="14" t="str">
        <f t="shared" si="120"/>
        <v/>
      </c>
      <c r="G1913">
        <v>1</v>
      </c>
      <c r="H1913" s="90">
        <f t="shared" ref="H1913" si="121">SUM(F1913:G1919)</f>
        <v>39</v>
      </c>
    </row>
    <row r="1914" spans="1:8" x14ac:dyDescent="0.25">
      <c r="A1914" s="6">
        <v>45895</v>
      </c>
      <c r="B1914" s="87" t="s">
        <v>8</v>
      </c>
      <c r="C1914" s="85"/>
      <c r="D1914" s="85"/>
      <c r="E1914" s="13"/>
      <c r="F1914" s="14" t="str">
        <f t="shared" si="120"/>
        <v/>
      </c>
      <c r="G1914">
        <v>1</v>
      </c>
      <c r="H1914" s="91"/>
    </row>
    <row r="1915" spans="1:8" x14ac:dyDescent="0.25">
      <c r="A1915" s="11">
        <v>45896</v>
      </c>
      <c r="B1915" s="82" t="s">
        <v>9</v>
      </c>
      <c r="C1915" s="85">
        <v>0.25</v>
      </c>
      <c r="D1915" s="85">
        <v>0.66666666666666663</v>
      </c>
      <c r="E1915" s="13">
        <v>0.5</v>
      </c>
      <c r="F1915" s="14">
        <f t="shared" si="120"/>
        <v>9.5</v>
      </c>
      <c r="H1915" s="91"/>
    </row>
    <row r="1916" spans="1:8" x14ac:dyDescent="0.25">
      <c r="A1916" s="6">
        <v>45897</v>
      </c>
      <c r="B1916" s="83" t="s">
        <v>12</v>
      </c>
      <c r="C1916" s="85">
        <v>0.25</v>
      </c>
      <c r="D1916" s="85">
        <v>0.66666666666666663</v>
      </c>
      <c r="E1916" s="13">
        <v>0.5</v>
      </c>
      <c r="F1916" s="14">
        <f t="shared" si="120"/>
        <v>9.5</v>
      </c>
      <c r="H1916" s="91"/>
    </row>
    <row r="1917" spans="1:8" x14ac:dyDescent="0.25">
      <c r="A1917" s="11">
        <v>45898</v>
      </c>
      <c r="B1917" s="87" t="s">
        <v>14</v>
      </c>
      <c r="C1917" s="85"/>
      <c r="D1917" s="85"/>
      <c r="E1917" s="13"/>
      <c r="F1917" s="14" t="str">
        <f t="shared" si="120"/>
        <v/>
      </c>
      <c r="H1917" s="91"/>
    </row>
    <row r="1918" spans="1:8" x14ac:dyDescent="0.25">
      <c r="A1918" s="6">
        <v>45899</v>
      </c>
      <c r="B1918" s="7" t="s">
        <v>15</v>
      </c>
      <c r="C1918" s="85">
        <v>0.29166666666666669</v>
      </c>
      <c r="D1918" s="85">
        <v>0.64583333333333337</v>
      </c>
      <c r="E1918" s="13">
        <v>0.5</v>
      </c>
      <c r="F1918" s="14">
        <f t="shared" si="120"/>
        <v>8</v>
      </c>
      <c r="G1918">
        <v>2</v>
      </c>
      <c r="H1918" s="91"/>
    </row>
    <row r="1919" spans="1:8" x14ac:dyDescent="0.25">
      <c r="A1919" s="11">
        <v>45900</v>
      </c>
      <c r="B1919" s="7" t="s">
        <v>15</v>
      </c>
      <c r="C1919" s="85">
        <v>0.29166666666666669</v>
      </c>
      <c r="D1919" s="85">
        <v>0.64583333333333337</v>
      </c>
      <c r="E1919" s="13">
        <v>0.5</v>
      </c>
      <c r="F1919" s="14">
        <f t="shared" si="120"/>
        <v>8</v>
      </c>
      <c r="H1919" s="92"/>
    </row>
    <row r="1920" spans="1:8" x14ac:dyDescent="0.25">
      <c r="A1920" s="6">
        <v>45901</v>
      </c>
      <c r="B1920" s="82" t="s">
        <v>9</v>
      </c>
      <c r="C1920" s="85">
        <v>0.25</v>
      </c>
      <c r="D1920" s="85">
        <v>0.64583333333333337</v>
      </c>
      <c r="E1920" s="13">
        <v>0.5</v>
      </c>
      <c r="F1920" s="14">
        <f t="shared" si="120"/>
        <v>9</v>
      </c>
      <c r="H1920" s="90">
        <f t="shared" ref="H1920" si="122">SUM(F1920:G1926)</f>
        <v>59</v>
      </c>
    </row>
    <row r="1921" spans="1:8" x14ac:dyDescent="0.25">
      <c r="A1921" s="11">
        <v>45902</v>
      </c>
      <c r="B1921" s="82" t="s">
        <v>9</v>
      </c>
      <c r="C1921" s="85">
        <v>0.25</v>
      </c>
      <c r="D1921" s="85">
        <v>0.64583333333333337</v>
      </c>
      <c r="E1921" s="13">
        <v>0.5</v>
      </c>
      <c r="F1921" s="14">
        <f t="shared" si="120"/>
        <v>9</v>
      </c>
      <c r="G1921">
        <v>5.5</v>
      </c>
      <c r="H1921" s="91"/>
    </row>
    <row r="1922" spans="1:8" x14ac:dyDescent="0.25">
      <c r="A1922" s="6">
        <v>45903</v>
      </c>
      <c r="B1922" s="82" t="s">
        <v>9</v>
      </c>
      <c r="C1922" s="85">
        <v>0.25</v>
      </c>
      <c r="D1922" s="85">
        <v>0.64583333333333337</v>
      </c>
      <c r="E1922" s="13">
        <v>0.5</v>
      </c>
      <c r="F1922" s="14">
        <f t="shared" si="120"/>
        <v>9</v>
      </c>
      <c r="G1922">
        <v>1.5</v>
      </c>
      <c r="H1922" s="91"/>
    </row>
    <row r="1923" spans="1:8" x14ac:dyDescent="0.25">
      <c r="A1923" s="11">
        <v>45904</v>
      </c>
      <c r="B1923" s="82" t="s">
        <v>9</v>
      </c>
      <c r="C1923" s="85">
        <v>0.25</v>
      </c>
      <c r="D1923" s="85">
        <v>0.64583333333333337</v>
      </c>
      <c r="E1923" s="13">
        <v>0.5</v>
      </c>
      <c r="F1923" s="14">
        <f t="shared" si="120"/>
        <v>9</v>
      </c>
      <c r="H1923" s="91"/>
    </row>
    <row r="1924" spans="1:8" x14ac:dyDescent="0.25">
      <c r="A1924" s="6">
        <v>45905</v>
      </c>
      <c r="B1924" s="87" t="s">
        <v>14</v>
      </c>
      <c r="C1924" s="85"/>
      <c r="D1924" s="85"/>
      <c r="E1924" s="13"/>
      <c r="F1924" s="14" t="str">
        <f t="shared" si="120"/>
        <v/>
      </c>
      <c r="H1924" s="91"/>
    </row>
    <row r="1925" spans="1:8" x14ac:dyDescent="0.25">
      <c r="A1925" s="11">
        <v>45906</v>
      </c>
      <c r="B1925" s="7" t="s">
        <v>15</v>
      </c>
      <c r="C1925" s="85">
        <v>0.29166666666666669</v>
      </c>
      <c r="D1925" s="85">
        <v>0.64583333333333337</v>
      </c>
      <c r="E1925" s="13">
        <v>0.5</v>
      </c>
      <c r="F1925" s="14">
        <f t="shared" si="120"/>
        <v>8</v>
      </c>
      <c r="H1925" s="91"/>
    </row>
    <row r="1926" spans="1:8" x14ac:dyDescent="0.25">
      <c r="A1926" s="6">
        <v>45907</v>
      </c>
      <c r="B1926" s="7" t="s">
        <v>15</v>
      </c>
      <c r="C1926" s="85">
        <v>0.29166666666666669</v>
      </c>
      <c r="D1926" s="85">
        <v>0.64583333333333337</v>
      </c>
      <c r="E1926" s="13">
        <v>0.5</v>
      </c>
      <c r="F1926" s="14">
        <f t="shared" si="120"/>
        <v>8</v>
      </c>
      <c r="H1926" s="92"/>
    </row>
    <row r="1927" spans="1:8" x14ac:dyDescent="0.25">
      <c r="A1927" s="11">
        <v>45908</v>
      </c>
      <c r="B1927" s="82" t="s">
        <v>9</v>
      </c>
      <c r="C1927" s="85">
        <v>0.25</v>
      </c>
      <c r="D1927" s="85">
        <v>0.64583333333333337</v>
      </c>
      <c r="E1927" s="13">
        <v>0.5</v>
      </c>
      <c r="F1927" s="14">
        <f t="shared" si="120"/>
        <v>9</v>
      </c>
      <c r="H1927" s="90">
        <f t="shared" ref="H1927" si="123">SUM(F1927:G1933)</f>
        <v>53.5</v>
      </c>
    </row>
    <row r="1928" spans="1:8" x14ac:dyDescent="0.25">
      <c r="A1928" s="6">
        <v>45909</v>
      </c>
      <c r="B1928" s="83" t="s">
        <v>12</v>
      </c>
      <c r="C1928" s="85">
        <v>0.25</v>
      </c>
      <c r="D1928" s="85">
        <v>0.66666666666666663</v>
      </c>
      <c r="E1928" s="13">
        <v>0.5</v>
      </c>
      <c r="F1928" s="14">
        <f t="shared" si="120"/>
        <v>9.5</v>
      </c>
      <c r="H1928" s="91"/>
    </row>
    <row r="1929" spans="1:8" x14ac:dyDescent="0.25">
      <c r="A1929" s="11">
        <v>45910</v>
      </c>
      <c r="B1929" s="82" t="s">
        <v>9</v>
      </c>
      <c r="C1929" s="85">
        <v>0.25</v>
      </c>
      <c r="D1929" s="85">
        <v>0.64583333333333337</v>
      </c>
      <c r="E1929" s="13">
        <v>0.5</v>
      </c>
      <c r="F1929" s="14">
        <f t="shared" si="120"/>
        <v>9</v>
      </c>
      <c r="H1929" s="91"/>
    </row>
    <row r="1930" spans="1:8" x14ac:dyDescent="0.25">
      <c r="A1930" s="6">
        <v>45911</v>
      </c>
      <c r="B1930" s="82" t="s">
        <v>9</v>
      </c>
      <c r="C1930" s="85">
        <v>0.25</v>
      </c>
      <c r="D1930" s="85">
        <v>0.64583333333333337</v>
      </c>
      <c r="E1930" s="13">
        <v>0.5</v>
      </c>
      <c r="F1930" s="14">
        <f t="shared" si="120"/>
        <v>9</v>
      </c>
      <c r="G1930">
        <v>1</v>
      </c>
      <c r="H1930" s="91"/>
    </row>
    <row r="1931" spans="1:8" x14ac:dyDescent="0.25">
      <c r="A1931" s="11">
        <v>45912</v>
      </c>
      <c r="B1931" s="87" t="s">
        <v>14</v>
      </c>
      <c r="C1931" s="85"/>
      <c r="D1931" s="85"/>
      <c r="E1931" s="13"/>
      <c r="F1931" s="14" t="str">
        <f t="shared" si="120"/>
        <v/>
      </c>
      <c r="H1931" s="91"/>
    </row>
    <row r="1932" spans="1:8" x14ac:dyDescent="0.25">
      <c r="A1932" s="6">
        <v>45913</v>
      </c>
      <c r="B1932" s="7" t="s">
        <v>15</v>
      </c>
      <c r="C1932" s="85">
        <v>0.29166666666666669</v>
      </c>
      <c r="D1932" s="85">
        <v>0.64583333333333337</v>
      </c>
      <c r="E1932" s="13">
        <v>0.5</v>
      </c>
      <c r="F1932" s="14">
        <f t="shared" si="120"/>
        <v>8</v>
      </c>
      <c r="H1932" s="91"/>
    </row>
    <row r="1933" spans="1:8" x14ac:dyDescent="0.25">
      <c r="A1933" s="11">
        <v>45914</v>
      </c>
      <c r="B1933" s="7" t="s">
        <v>15</v>
      </c>
      <c r="C1933" s="85">
        <v>0.29166666666666669</v>
      </c>
      <c r="D1933" s="85">
        <v>0.64583333333333337</v>
      </c>
      <c r="E1933" s="13">
        <v>0.5</v>
      </c>
      <c r="F1933" s="14">
        <f t="shared" si="120"/>
        <v>8</v>
      </c>
      <c r="H1933" s="92"/>
    </row>
    <row r="1934" spans="1:8" x14ac:dyDescent="0.25">
      <c r="A1934" s="6">
        <v>45915</v>
      </c>
      <c r="B1934" s="87" t="s">
        <v>8</v>
      </c>
      <c r="C1934" s="85"/>
      <c r="D1934" s="85"/>
      <c r="E1934" s="13"/>
      <c r="F1934" s="14" t="str">
        <f t="shared" si="120"/>
        <v/>
      </c>
      <c r="H1934" s="90">
        <f t="shared" ref="H1934" si="124">SUM(F1934:G1940)</f>
        <v>44.5</v>
      </c>
    </row>
    <row r="1935" spans="1:8" x14ac:dyDescent="0.25">
      <c r="A1935" s="11">
        <v>45916</v>
      </c>
      <c r="B1935" s="83" t="s">
        <v>12</v>
      </c>
      <c r="C1935" s="85">
        <v>0.25</v>
      </c>
      <c r="D1935" s="85">
        <v>0.66666666666666663</v>
      </c>
      <c r="E1935" s="13">
        <v>0.5</v>
      </c>
      <c r="F1935" s="14">
        <f t="shared" si="120"/>
        <v>9.5</v>
      </c>
      <c r="H1935" s="91"/>
    </row>
    <row r="1936" spans="1:8" x14ac:dyDescent="0.25">
      <c r="A1936" s="6">
        <v>45917</v>
      </c>
      <c r="B1936" s="82" t="s">
        <v>9</v>
      </c>
      <c r="C1936" s="85">
        <v>0.25</v>
      </c>
      <c r="D1936" s="85">
        <v>0.64583333333333337</v>
      </c>
      <c r="E1936" s="13">
        <v>0.5</v>
      </c>
      <c r="F1936" s="14">
        <f t="shared" si="120"/>
        <v>9</v>
      </c>
      <c r="H1936" s="91"/>
    </row>
    <row r="1937" spans="1:8" x14ac:dyDescent="0.25">
      <c r="A1937" s="11">
        <v>45918</v>
      </c>
      <c r="B1937" s="83" t="s">
        <v>12</v>
      </c>
      <c r="C1937" s="85">
        <v>0.25</v>
      </c>
      <c r="D1937" s="85">
        <v>0.6875</v>
      </c>
      <c r="E1937" s="13">
        <v>0.5</v>
      </c>
      <c r="F1937" s="14">
        <f t="shared" si="120"/>
        <v>10</v>
      </c>
      <c r="H1937" s="91"/>
    </row>
    <row r="1938" spans="1:8" x14ac:dyDescent="0.25">
      <c r="A1938" s="6">
        <v>45919</v>
      </c>
      <c r="B1938" s="87" t="s">
        <v>14</v>
      </c>
      <c r="C1938" s="85"/>
      <c r="D1938" s="85"/>
      <c r="E1938" s="13"/>
      <c r="F1938" s="14" t="str">
        <f t="shared" si="120"/>
        <v/>
      </c>
      <c r="H1938" s="91"/>
    </row>
    <row r="1939" spans="1:8" x14ac:dyDescent="0.25">
      <c r="A1939" s="11">
        <v>45920</v>
      </c>
      <c r="B1939" s="7" t="s">
        <v>15</v>
      </c>
      <c r="C1939" s="85">
        <v>0.29166666666666669</v>
      </c>
      <c r="D1939" s="85">
        <v>0.64583333333333337</v>
      </c>
      <c r="E1939" s="13">
        <v>0.5</v>
      </c>
      <c r="F1939" s="14">
        <f t="shared" si="120"/>
        <v>8</v>
      </c>
      <c r="H1939" s="91"/>
    </row>
    <row r="1940" spans="1:8" x14ac:dyDescent="0.25">
      <c r="A1940" s="6">
        <v>45921</v>
      </c>
      <c r="B1940" s="7" t="s">
        <v>15</v>
      </c>
      <c r="C1940" s="85">
        <v>0.29166666666666669</v>
      </c>
      <c r="D1940" s="85">
        <v>0.64583333333333337</v>
      </c>
      <c r="E1940" s="13">
        <v>0.5</v>
      </c>
      <c r="F1940" s="14">
        <f t="shared" si="120"/>
        <v>8</v>
      </c>
      <c r="H1940" s="92"/>
    </row>
    <row r="1941" spans="1:8" x14ac:dyDescent="0.25">
      <c r="A1941" s="11">
        <v>45922</v>
      </c>
      <c r="B1941" s="82" t="s">
        <v>9</v>
      </c>
      <c r="C1941" s="85">
        <v>0.25</v>
      </c>
      <c r="D1941" s="85">
        <v>0.64583333333333337</v>
      </c>
      <c r="E1941" s="13">
        <v>0.5</v>
      </c>
      <c r="F1941" s="14">
        <f t="shared" si="120"/>
        <v>9</v>
      </c>
      <c r="H1941" s="90">
        <f t="shared" ref="H1941" si="125">SUM(F1941:G1947)</f>
        <v>36</v>
      </c>
    </row>
    <row r="1942" spans="1:8" x14ac:dyDescent="0.25">
      <c r="A1942" s="6">
        <v>45923</v>
      </c>
      <c r="B1942" s="83" t="s">
        <v>12</v>
      </c>
      <c r="C1942" s="85">
        <v>0.25</v>
      </c>
      <c r="D1942" s="85">
        <v>0.66666666666666663</v>
      </c>
      <c r="E1942" s="13">
        <v>1.5</v>
      </c>
      <c r="F1942" s="14">
        <f t="shared" si="120"/>
        <v>8.5</v>
      </c>
      <c r="H1942" s="91"/>
    </row>
    <row r="1943" spans="1:8" x14ac:dyDescent="0.25">
      <c r="A1943" s="11">
        <v>45924</v>
      </c>
      <c r="B1943" s="82" t="s">
        <v>9</v>
      </c>
      <c r="C1943" s="85">
        <v>0.25</v>
      </c>
      <c r="D1943" s="85">
        <v>0.66666666666666663</v>
      </c>
      <c r="E1943" s="13">
        <v>0.5</v>
      </c>
      <c r="F1943" s="14">
        <f t="shared" si="120"/>
        <v>9.5</v>
      </c>
      <c r="H1943" s="91"/>
    </row>
    <row r="1944" spans="1:8" x14ac:dyDescent="0.25">
      <c r="A1944" s="6">
        <v>45925</v>
      </c>
      <c r="B1944" s="82" t="s">
        <v>9</v>
      </c>
      <c r="C1944" s="85">
        <v>0.25</v>
      </c>
      <c r="D1944" s="85">
        <v>0.64583333333333337</v>
      </c>
      <c r="E1944" s="13">
        <v>0.5</v>
      </c>
      <c r="F1944" s="14">
        <f t="shared" si="120"/>
        <v>9</v>
      </c>
      <c r="H1944" s="91"/>
    </row>
    <row r="1945" spans="1:8" x14ac:dyDescent="0.25">
      <c r="A1945" s="11">
        <v>45926</v>
      </c>
      <c r="B1945" s="87" t="s">
        <v>14</v>
      </c>
      <c r="C1945" s="85"/>
      <c r="D1945" s="85"/>
      <c r="E1945" s="13"/>
      <c r="F1945" s="14" t="str">
        <f t="shared" si="120"/>
        <v/>
      </c>
      <c r="H1945" s="91"/>
    </row>
    <row r="1946" spans="1:8" x14ac:dyDescent="0.25">
      <c r="A1946" s="6">
        <v>45927</v>
      </c>
      <c r="B1946" s="87"/>
      <c r="C1946" s="85"/>
      <c r="D1946" s="85"/>
      <c r="E1946" s="13"/>
      <c r="F1946" s="14" t="str">
        <f t="shared" si="120"/>
        <v/>
      </c>
      <c r="H1946" s="91"/>
    </row>
    <row r="1947" spans="1:8" x14ac:dyDescent="0.25">
      <c r="A1947" s="11">
        <v>45928</v>
      </c>
      <c r="B1947" s="87"/>
      <c r="C1947" s="85"/>
      <c r="D1947" s="85"/>
      <c r="E1947" s="13"/>
      <c r="F1947" s="14" t="str">
        <f t="shared" si="120"/>
        <v/>
      </c>
      <c r="H1947" s="92"/>
    </row>
    <row r="1948" spans="1:8" x14ac:dyDescent="0.25">
      <c r="A1948" s="6">
        <v>45929</v>
      </c>
      <c r="B1948" s="82" t="s">
        <v>9</v>
      </c>
      <c r="C1948" s="85">
        <v>0.25</v>
      </c>
      <c r="D1948" s="85">
        <v>0.64583333333333337</v>
      </c>
      <c r="E1948" s="13">
        <v>0.5</v>
      </c>
      <c r="F1948" s="14">
        <f t="shared" ref="F1948:F2011" si="126">IF(C1948="", "", IF(D1948="", "", (D1948-C1948)*24 - E1948))</f>
        <v>9</v>
      </c>
      <c r="G1948">
        <v>1</v>
      </c>
      <c r="H1948" s="90">
        <f t="shared" ref="H1948" si="127">SUM(F1948:G1954)</f>
        <v>56</v>
      </c>
    </row>
    <row r="1949" spans="1:8" x14ac:dyDescent="0.25">
      <c r="A1949" s="11">
        <v>45930</v>
      </c>
      <c r="B1949" s="83" t="s">
        <v>12</v>
      </c>
      <c r="C1949" s="85">
        <v>0.25</v>
      </c>
      <c r="D1949" s="85">
        <v>0.64583333333333337</v>
      </c>
      <c r="E1949" s="13">
        <v>0.5</v>
      </c>
      <c r="F1949" s="14">
        <f t="shared" si="126"/>
        <v>9</v>
      </c>
      <c r="G1949">
        <v>1</v>
      </c>
      <c r="H1949" s="91"/>
    </row>
    <row r="1950" spans="1:8" x14ac:dyDescent="0.25">
      <c r="A1950" s="6">
        <v>45931</v>
      </c>
      <c r="B1950" s="82" t="s">
        <v>9</v>
      </c>
      <c r="C1950" s="85">
        <v>0.25</v>
      </c>
      <c r="D1950" s="85">
        <v>0.64583333333333337</v>
      </c>
      <c r="E1950" s="13">
        <v>0.5</v>
      </c>
      <c r="F1950" s="14">
        <f t="shared" si="126"/>
        <v>9</v>
      </c>
      <c r="H1950" s="91"/>
    </row>
    <row r="1951" spans="1:8" x14ac:dyDescent="0.25">
      <c r="A1951" s="11">
        <v>45932</v>
      </c>
      <c r="B1951" s="82" t="s">
        <v>9</v>
      </c>
      <c r="C1951" s="85">
        <v>0.25</v>
      </c>
      <c r="D1951" s="85">
        <v>0.64583333333333337</v>
      </c>
      <c r="E1951" s="13">
        <v>0.5</v>
      </c>
      <c r="F1951" s="14">
        <f t="shared" si="126"/>
        <v>9</v>
      </c>
      <c r="G1951">
        <v>1</v>
      </c>
      <c r="H1951" s="91"/>
    </row>
    <row r="1952" spans="1:8" x14ac:dyDescent="0.25">
      <c r="A1952" s="6">
        <v>45933</v>
      </c>
      <c r="B1952" s="87" t="s">
        <v>14</v>
      </c>
      <c r="C1952" s="85"/>
      <c r="D1952" s="85"/>
      <c r="E1952" s="13"/>
      <c r="F1952" s="14" t="str">
        <f t="shared" si="126"/>
        <v/>
      </c>
      <c r="G1952">
        <v>1</v>
      </c>
      <c r="H1952" s="91"/>
    </row>
    <row r="1953" spans="1:8" x14ac:dyDescent="0.25">
      <c r="A1953" s="11">
        <v>45934</v>
      </c>
      <c r="B1953" s="7" t="s">
        <v>15</v>
      </c>
      <c r="C1953" s="85">
        <v>0.29166666666666669</v>
      </c>
      <c r="D1953" s="85">
        <v>0.64583333333333337</v>
      </c>
      <c r="E1953" s="13">
        <v>0.5</v>
      </c>
      <c r="F1953" s="14">
        <f t="shared" si="126"/>
        <v>8</v>
      </c>
      <c r="H1953" s="91"/>
    </row>
    <row r="1954" spans="1:8" x14ac:dyDescent="0.25">
      <c r="A1954" s="6">
        <v>45935</v>
      </c>
      <c r="B1954" s="7" t="s">
        <v>15</v>
      </c>
      <c r="C1954" s="85">
        <v>0.29166666666666669</v>
      </c>
      <c r="D1954" s="85">
        <v>0.64583333333333337</v>
      </c>
      <c r="E1954" s="13">
        <v>0.5</v>
      </c>
      <c r="F1954" s="14">
        <f t="shared" si="126"/>
        <v>8</v>
      </c>
      <c r="H1954" s="92"/>
    </row>
    <row r="1955" spans="1:8" x14ac:dyDescent="0.25">
      <c r="A1955" s="11">
        <v>45936</v>
      </c>
      <c r="B1955" s="87" t="s">
        <v>17</v>
      </c>
      <c r="C1955" s="85"/>
      <c r="D1955" s="85"/>
      <c r="E1955" s="13"/>
      <c r="F1955" s="14" t="str">
        <f t="shared" si="126"/>
        <v/>
      </c>
      <c r="H1955" s="90">
        <f t="shared" ref="H1955" si="128">SUM(F1955:G1961)</f>
        <v>27</v>
      </c>
    </row>
    <row r="1956" spans="1:8" x14ac:dyDescent="0.25">
      <c r="A1956" s="6">
        <v>45937</v>
      </c>
      <c r="B1956" s="83" t="s">
        <v>12</v>
      </c>
      <c r="C1956" s="85">
        <v>0.25</v>
      </c>
      <c r="D1956" s="85">
        <v>0.64583333333333337</v>
      </c>
      <c r="E1956" s="13">
        <v>0.5</v>
      </c>
      <c r="F1956" s="14">
        <f t="shared" si="126"/>
        <v>9</v>
      </c>
      <c r="H1956" s="91"/>
    </row>
    <row r="1957" spans="1:8" x14ac:dyDescent="0.25">
      <c r="A1957" s="11">
        <v>45938</v>
      </c>
      <c r="B1957" s="82" t="s">
        <v>9</v>
      </c>
      <c r="C1957" s="85">
        <v>0.25</v>
      </c>
      <c r="D1957" s="85">
        <v>0.64583333333333337</v>
      </c>
      <c r="E1957" s="13">
        <v>0.5</v>
      </c>
      <c r="F1957" s="14">
        <f t="shared" si="126"/>
        <v>9</v>
      </c>
      <c r="H1957" s="91"/>
    </row>
    <row r="1958" spans="1:8" x14ac:dyDescent="0.25">
      <c r="A1958" s="6">
        <v>45939</v>
      </c>
      <c r="B1958" s="82" t="s">
        <v>9</v>
      </c>
      <c r="C1958" s="85">
        <v>0.25</v>
      </c>
      <c r="D1958" s="85">
        <v>0.64583333333333337</v>
      </c>
      <c r="E1958" s="13">
        <v>0.5</v>
      </c>
      <c r="F1958" s="14">
        <f t="shared" si="126"/>
        <v>9</v>
      </c>
      <c r="H1958" s="91"/>
    </row>
    <row r="1959" spans="1:8" x14ac:dyDescent="0.25">
      <c r="A1959" s="11">
        <v>45940</v>
      </c>
      <c r="B1959" s="87" t="s">
        <v>14</v>
      </c>
      <c r="C1959" s="85"/>
      <c r="D1959" s="85"/>
      <c r="E1959" s="13"/>
      <c r="F1959" s="14" t="str">
        <f t="shared" si="126"/>
        <v/>
      </c>
      <c r="H1959" s="91"/>
    </row>
    <row r="1960" spans="1:8" x14ac:dyDescent="0.25">
      <c r="A1960" s="6">
        <v>45941</v>
      </c>
      <c r="B1960" s="87"/>
      <c r="C1960" s="85"/>
      <c r="D1960" s="85"/>
      <c r="E1960" s="13"/>
      <c r="F1960" s="14" t="str">
        <f t="shared" si="126"/>
        <v/>
      </c>
      <c r="H1960" s="91"/>
    </row>
    <row r="1961" spans="1:8" x14ac:dyDescent="0.25">
      <c r="A1961" s="11">
        <v>45942</v>
      </c>
      <c r="B1961" s="87"/>
      <c r="C1961" s="85"/>
      <c r="D1961" s="85"/>
      <c r="E1961" s="13"/>
      <c r="F1961" s="14" t="str">
        <f t="shared" si="126"/>
        <v/>
      </c>
      <c r="H1961" s="92"/>
    </row>
    <row r="1962" spans="1:8" x14ac:dyDescent="0.25">
      <c r="A1962" s="6">
        <v>45943</v>
      </c>
      <c r="B1962" s="82" t="s">
        <v>9</v>
      </c>
      <c r="C1962" s="85">
        <v>0.25</v>
      </c>
      <c r="D1962" s="85">
        <v>0.64583333333333337</v>
      </c>
      <c r="E1962" s="13">
        <v>0.5</v>
      </c>
      <c r="F1962" s="14">
        <f t="shared" si="126"/>
        <v>9</v>
      </c>
      <c r="H1962" s="90">
        <f t="shared" ref="H1962" si="129">SUM(F1962:G1968)</f>
        <v>36</v>
      </c>
    </row>
    <row r="1963" spans="1:8" x14ac:dyDescent="0.25">
      <c r="A1963" s="11">
        <v>45944</v>
      </c>
      <c r="B1963" s="82" t="s">
        <v>9</v>
      </c>
      <c r="C1963" s="85">
        <v>0.25</v>
      </c>
      <c r="D1963" s="85">
        <v>0.64583333333333337</v>
      </c>
      <c r="E1963" s="13">
        <v>0.5</v>
      </c>
      <c r="F1963" s="14">
        <f t="shared" si="126"/>
        <v>9</v>
      </c>
      <c r="H1963" s="91"/>
    </row>
    <row r="1964" spans="1:8" x14ac:dyDescent="0.25">
      <c r="A1964" s="6">
        <v>45945</v>
      </c>
      <c r="B1964" s="82" t="s">
        <v>9</v>
      </c>
      <c r="C1964" s="85">
        <v>0.25</v>
      </c>
      <c r="D1964" s="85">
        <v>0.64583333333333337</v>
      </c>
      <c r="E1964" s="13">
        <v>0.5</v>
      </c>
      <c r="F1964" s="14">
        <f t="shared" si="126"/>
        <v>9</v>
      </c>
      <c r="H1964" s="91"/>
    </row>
    <row r="1965" spans="1:8" x14ac:dyDescent="0.25">
      <c r="A1965" s="11">
        <v>45946</v>
      </c>
      <c r="B1965" s="82" t="s">
        <v>9</v>
      </c>
      <c r="C1965" s="85">
        <v>0.25</v>
      </c>
      <c r="D1965" s="85">
        <v>0.64583333333333337</v>
      </c>
      <c r="E1965" s="13">
        <v>0.5</v>
      </c>
      <c r="F1965" s="14">
        <f t="shared" si="126"/>
        <v>9</v>
      </c>
      <c r="H1965" s="91"/>
    </row>
    <row r="1966" spans="1:8" x14ac:dyDescent="0.25">
      <c r="A1966" s="6">
        <v>45947</v>
      </c>
      <c r="B1966" s="87" t="s">
        <v>14</v>
      </c>
      <c r="C1966" s="85"/>
      <c r="D1966" s="85"/>
      <c r="E1966" s="13"/>
      <c r="F1966" s="14" t="str">
        <f t="shared" si="126"/>
        <v/>
      </c>
      <c r="H1966" s="91"/>
    </row>
    <row r="1967" spans="1:8" x14ac:dyDescent="0.25">
      <c r="A1967" s="11">
        <v>45948</v>
      </c>
      <c r="B1967" s="87"/>
      <c r="C1967" s="85"/>
      <c r="D1967" s="85"/>
      <c r="E1967" s="13"/>
      <c r="F1967" s="14" t="str">
        <f t="shared" si="126"/>
        <v/>
      </c>
      <c r="H1967" s="91"/>
    </row>
    <row r="1968" spans="1:8" x14ac:dyDescent="0.25">
      <c r="A1968" s="6">
        <v>45949</v>
      </c>
      <c r="B1968" s="87"/>
      <c r="C1968" s="85"/>
      <c r="D1968" s="85"/>
      <c r="E1968" s="13"/>
      <c r="F1968" s="14" t="str">
        <f t="shared" si="126"/>
        <v/>
      </c>
      <c r="H1968" s="92"/>
    </row>
    <row r="1969" spans="1:8" x14ac:dyDescent="0.25">
      <c r="A1969" s="11">
        <v>45950</v>
      </c>
      <c r="B1969" s="82" t="s">
        <v>9</v>
      </c>
      <c r="C1969" s="85">
        <v>0.25</v>
      </c>
      <c r="D1969" s="85">
        <v>0.64583333333333337</v>
      </c>
      <c r="E1969" s="13">
        <v>0.5</v>
      </c>
      <c r="F1969" s="14">
        <f t="shared" si="126"/>
        <v>9</v>
      </c>
      <c r="H1969" s="90">
        <f t="shared" ref="H1969" si="130">SUM(F1969:G1975)</f>
        <v>36</v>
      </c>
    </row>
    <row r="1970" spans="1:8" x14ac:dyDescent="0.25">
      <c r="A1970" s="6">
        <v>45951</v>
      </c>
      <c r="B1970" s="83" t="s">
        <v>12</v>
      </c>
      <c r="C1970" s="85">
        <v>0.25</v>
      </c>
      <c r="D1970" s="85">
        <v>0.64583333333333337</v>
      </c>
      <c r="E1970" s="13">
        <v>0.5</v>
      </c>
      <c r="F1970" s="14">
        <f t="shared" si="126"/>
        <v>9</v>
      </c>
      <c r="H1970" s="91"/>
    </row>
    <row r="1971" spans="1:8" x14ac:dyDescent="0.25">
      <c r="A1971" s="11">
        <v>45952</v>
      </c>
      <c r="B1971" s="82" t="s">
        <v>9</v>
      </c>
      <c r="C1971" s="85">
        <v>0.25</v>
      </c>
      <c r="D1971" s="85">
        <v>0.64583333333333337</v>
      </c>
      <c r="E1971" s="13">
        <v>0.5</v>
      </c>
      <c r="F1971" s="14">
        <f t="shared" si="126"/>
        <v>9</v>
      </c>
      <c r="H1971" s="91"/>
    </row>
    <row r="1972" spans="1:8" x14ac:dyDescent="0.25">
      <c r="A1972" s="6">
        <v>45953</v>
      </c>
      <c r="B1972" s="82" t="s">
        <v>9</v>
      </c>
      <c r="C1972" s="85">
        <v>0.25</v>
      </c>
      <c r="D1972" s="85">
        <v>0.64583333333333337</v>
      </c>
      <c r="E1972" s="13">
        <v>0.5</v>
      </c>
      <c r="F1972" s="14">
        <f t="shared" si="126"/>
        <v>9</v>
      </c>
      <c r="H1972" s="91"/>
    </row>
    <row r="1973" spans="1:8" x14ac:dyDescent="0.25">
      <c r="A1973" s="11">
        <v>45954</v>
      </c>
      <c r="B1973" s="87" t="s">
        <v>14</v>
      </c>
      <c r="C1973" s="85"/>
      <c r="D1973" s="85"/>
      <c r="E1973" s="13"/>
      <c r="F1973" s="14" t="str">
        <f t="shared" si="126"/>
        <v/>
      </c>
      <c r="H1973" s="91"/>
    </row>
    <row r="1974" spans="1:8" x14ac:dyDescent="0.25">
      <c r="A1974" s="6">
        <v>45955</v>
      </c>
      <c r="B1974" s="87"/>
      <c r="C1974" s="85"/>
      <c r="D1974" s="85"/>
      <c r="E1974" s="13"/>
      <c r="F1974" s="14" t="str">
        <f t="shared" si="126"/>
        <v/>
      </c>
      <c r="H1974" s="91"/>
    </row>
    <row r="1975" spans="1:8" x14ac:dyDescent="0.25">
      <c r="A1975" s="11">
        <v>45956</v>
      </c>
      <c r="B1975" s="87"/>
      <c r="C1975" s="85"/>
      <c r="D1975" s="85"/>
      <c r="E1975" s="13"/>
      <c r="F1975" s="14" t="str">
        <f t="shared" si="126"/>
        <v/>
      </c>
      <c r="H1975" s="92"/>
    </row>
    <row r="1976" spans="1:8" x14ac:dyDescent="0.25">
      <c r="A1976" s="6">
        <v>45957</v>
      </c>
      <c r="B1976" s="82" t="s">
        <v>9</v>
      </c>
      <c r="C1976" s="85">
        <v>0.25</v>
      </c>
      <c r="D1976" s="85">
        <v>0.64583333333333337</v>
      </c>
      <c r="E1976" s="13">
        <v>0.5</v>
      </c>
      <c r="F1976" s="14">
        <f t="shared" si="126"/>
        <v>9</v>
      </c>
      <c r="H1976" s="90">
        <f t="shared" ref="H1976" si="131">SUM(F1976:G1982)</f>
        <v>46</v>
      </c>
    </row>
    <row r="1977" spans="1:8" x14ac:dyDescent="0.25">
      <c r="A1977" s="11">
        <v>45958</v>
      </c>
      <c r="B1977" s="82" t="s">
        <v>9</v>
      </c>
      <c r="C1977" s="85">
        <v>0.25</v>
      </c>
      <c r="D1977" s="85">
        <v>0.64583333333333337</v>
      </c>
      <c r="E1977" s="13">
        <v>0.5</v>
      </c>
      <c r="F1977" s="14">
        <f t="shared" si="126"/>
        <v>9</v>
      </c>
      <c r="H1977" s="91"/>
    </row>
    <row r="1978" spans="1:8" x14ac:dyDescent="0.25">
      <c r="A1978" s="6">
        <v>45959</v>
      </c>
      <c r="B1978" s="82" t="s">
        <v>9</v>
      </c>
      <c r="C1978" s="85">
        <v>0.25</v>
      </c>
      <c r="D1978" s="85">
        <v>0.64583333333333337</v>
      </c>
      <c r="E1978" s="13">
        <v>0.5</v>
      </c>
      <c r="F1978" s="14">
        <f t="shared" si="126"/>
        <v>9</v>
      </c>
      <c r="H1978" s="91"/>
    </row>
    <row r="1979" spans="1:8" x14ac:dyDescent="0.25">
      <c r="A1979" s="11">
        <v>45960</v>
      </c>
      <c r="B1979" s="83" t="s">
        <v>12</v>
      </c>
      <c r="C1979" s="85">
        <v>0.25</v>
      </c>
      <c r="D1979" s="85">
        <v>0.66666666666666663</v>
      </c>
      <c r="E1979" s="13">
        <v>0.5</v>
      </c>
      <c r="F1979" s="14">
        <f t="shared" si="126"/>
        <v>9.5</v>
      </c>
      <c r="H1979" s="91"/>
    </row>
    <row r="1980" spans="1:8" x14ac:dyDescent="0.25">
      <c r="A1980" s="6">
        <v>45961</v>
      </c>
      <c r="B1980" s="83" t="s">
        <v>12</v>
      </c>
      <c r="C1980" s="85">
        <v>0.25</v>
      </c>
      <c r="D1980" s="85">
        <v>0.66666666666666663</v>
      </c>
      <c r="E1980" s="13">
        <v>0.5</v>
      </c>
      <c r="F1980" s="14">
        <f t="shared" si="126"/>
        <v>9.5</v>
      </c>
      <c r="H1980" s="91"/>
    </row>
    <row r="1981" spans="1:8" x14ac:dyDescent="0.25">
      <c r="A1981" s="11">
        <v>45962</v>
      </c>
      <c r="B1981" s="87"/>
      <c r="C1981" s="85"/>
      <c r="D1981" s="85"/>
      <c r="E1981" s="13"/>
      <c r="F1981" s="14" t="str">
        <f t="shared" si="126"/>
        <v/>
      </c>
      <c r="H1981" s="91"/>
    </row>
    <row r="1982" spans="1:8" x14ac:dyDescent="0.25">
      <c r="A1982" s="6">
        <v>45963</v>
      </c>
      <c r="B1982" s="87"/>
      <c r="C1982" s="85"/>
      <c r="D1982" s="85"/>
      <c r="E1982" s="13"/>
      <c r="F1982" s="14" t="str">
        <f t="shared" si="126"/>
        <v/>
      </c>
      <c r="H1982" s="92"/>
    </row>
    <row r="1983" spans="1:8" x14ac:dyDescent="0.25">
      <c r="A1983" s="11">
        <v>45964</v>
      </c>
      <c r="B1983" s="87" t="s">
        <v>14</v>
      </c>
      <c r="C1983" s="85"/>
      <c r="D1983" s="85"/>
      <c r="E1983" s="13"/>
      <c r="F1983" s="14" t="str">
        <f t="shared" si="126"/>
        <v/>
      </c>
      <c r="H1983" s="90">
        <f t="shared" ref="H1983" si="132">SUM(F1983:G1989)</f>
        <v>27</v>
      </c>
    </row>
    <row r="1984" spans="1:8" x14ac:dyDescent="0.25">
      <c r="A1984" s="6">
        <v>45965</v>
      </c>
      <c r="B1984" s="82" t="s">
        <v>9</v>
      </c>
      <c r="C1984" s="85">
        <v>0.25</v>
      </c>
      <c r="D1984" s="85">
        <v>0.64583333333333337</v>
      </c>
      <c r="E1984" s="13">
        <v>0.5</v>
      </c>
      <c r="F1984" s="14">
        <f t="shared" si="126"/>
        <v>9</v>
      </c>
      <c r="H1984" s="91"/>
    </row>
    <row r="1985" spans="1:8" x14ac:dyDescent="0.25">
      <c r="A1985" s="11">
        <v>45966</v>
      </c>
      <c r="B1985" s="83" t="s">
        <v>12</v>
      </c>
      <c r="C1985" s="85">
        <v>0.25</v>
      </c>
      <c r="D1985" s="85">
        <v>0.64583333333333337</v>
      </c>
      <c r="E1985" s="13">
        <v>0.5</v>
      </c>
      <c r="F1985" s="14">
        <f t="shared" si="126"/>
        <v>9</v>
      </c>
      <c r="H1985" s="91"/>
    </row>
    <row r="1986" spans="1:8" x14ac:dyDescent="0.25">
      <c r="A1986" s="6">
        <v>45967</v>
      </c>
      <c r="B1986" s="82" t="s">
        <v>9</v>
      </c>
      <c r="C1986" s="85">
        <v>0.25</v>
      </c>
      <c r="D1986" s="85">
        <v>0.64583333333333337</v>
      </c>
      <c r="E1986" s="13">
        <v>0.5</v>
      </c>
      <c r="F1986" s="14">
        <f t="shared" si="126"/>
        <v>9</v>
      </c>
      <c r="H1986" s="91"/>
    </row>
    <row r="1987" spans="1:8" x14ac:dyDescent="0.25">
      <c r="A1987" s="11">
        <v>45968</v>
      </c>
      <c r="B1987" s="87" t="s">
        <v>14</v>
      </c>
      <c r="C1987" s="85"/>
      <c r="D1987" s="85"/>
      <c r="E1987" s="13"/>
      <c r="F1987" s="14" t="str">
        <f t="shared" si="126"/>
        <v/>
      </c>
      <c r="H1987" s="91"/>
    </row>
    <row r="1988" spans="1:8" x14ac:dyDescent="0.25">
      <c r="A1988" s="6">
        <v>45969</v>
      </c>
      <c r="B1988" s="87"/>
      <c r="C1988" s="85"/>
      <c r="D1988" s="85"/>
      <c r="E1988" s="13"/>
      <c r="F1988" s="14" t="str">
        <f t="shared" si="126"/>
        <v/>
      </c>
      <c r="H1988" s="91"/>
    </row>
    <row r="1989" spans="1:8" x14ac:dyDescent="0.25">
      <c r="A1989" s="11">
        <v>45970</v>
      </c>
      <c r="B1989" s="87"/>
      <c r="C1989" s="85"/>
      <c r="D1989" s="85"/>
      <c r="E1989" s="13"/>
      <c r="F1989" s="14" t="str">
        <f t="shared" si="126"/>
        <v/>
      </c>
      <c r="H1989" s="92"/>
    </row>
    <row r="1990" spans="1:8" x14ac:dyDescent="0.25">
      <c r="A1990" s="6">
        <v>45971</v>
      </c>
      <c r="B1990" s="87" t="s">
        <v>8</v>
      </c>
      <c r="C1990" s="85"/>
      <c r="D1990" s="85"/>
      <c r="E1990" s="13"/>
      <c r="F1990" s="14" t="str">
        <f t="shared" si="126"/>
        <v/>
      </c>
      <c r="H1990" s="90">
        <f t="shared" ref="H1990" si="133">SUM(F1990:G1996)</f>
        <v>0</v>
      </c>
    </row>
    <row r="1991" spans="1:8" x14ac:dyDescent="0.25">
      <c r="A1991" s="11">
        <v>45972</v>
      </c>
      <c r="B1991" s="87" t="s">
        <v>8</v>
      </c>
      <c r="C1991" s="85"/>
      <c r="D1991" s="85"/>
      <c r="E1991" s="13"/>
      <c r="F1991" s="14" t="str">
        <f t="shared" si="126"/>
        <v/>
      </c>
      <c r="H1991" s="91"/>
    </row>
    <row r="1992" spans="1:8" x14ac:dyDescent="0.25">
      <c r="A1992" s="6">
        <v>45973</v>
      </c>
      <c r="B1992" s="87" t="s">
        <v>8</v>
      </c>
      <c r="C1992" s="85"/>
      <c r="D1992" s="85"/>
      <c r="E1992" s="13"/>
      <c r="F1992" s="14" t="str">
        <f t="shared" si="126"/>
        <v/>
      </c>
      <c r="H1992" s="91"/>
    </row>
    <row r="1993" spans="1:8" x14ac:dyDescent="0.25">
      <c r="A1993" s="11">
        <v>45974</v>
      </c>
      <c r="B1993" s="87" t="s">
        <v>8</v>
      </c>
      <c r="C1993" s="85"/>
      <c r="D1993" s="85"/>
      <c r="E1993" s="13"/>
      <c r="F1993" s="14" t="str">
        <f t="shared" si="126"/>
        <v/>
      </c>
      <c r="H1993" s="91"/>
    </row>
    <row r="1994" spans="1:8" x14ac:dyDescent="0.25">
      <c r="A1994" s="6">
        <v>45975</v>
      </c>
      <c r="B1994" s="87" t="s">
        <v>14</v>
      </c>
      <c r="C1994" s="85"/>
      <c r="D1994" s="85"/>
      <c r="E1994" s="13"/>
      <c r="F1994" s="14" t="str">
        <f t="shared" si="126"/>
        <v/>
      </c>
      <c r="H1994" s="91"/>
    </row>
    <row r="1995" spans="1:8" x14ac:dyDescent="0.25">
      <c r="A1995" s="11">
        <v>45976</v>
      </c>
      <c r="B1995" s="87"/>
      <c r="C1995" s="85"/>
      <c r="D1995" s="85"/>
      <c r="E1995" s="13"/>
      <c r="F1995" s="14" t="str">
        <f t="shared" si="126"/>
        <v/>
      </c>
      <c r="H1995" s="91"/>
    </row>
    <row r="1996" spans="1:8" x14ac:dyDescent="0.25">
      <c r="A1996" s="6">
        <v>45977</v>
      </c>
      <c r="B1996" s="87"/>
      <c r="C1996" s="85"/>
      <c r="D1996" s="85"/>
      <c r="E1996" s="13"/>
      <c r="F1996" s="14" t="str">
        <f t="shared" si="126"/>
        <v/>
      </c>
      <c r="H1996" s="92"/>
    </row>
    <row r="1997" spans="1:8" x14ac:dyDescent="0.25">
      <c r="A1997" s="11">
        <v>45978</v>
      </c>
      <c r="B1997" s="87" t="s">
        <v>8</v>
      </c>
      <c r="C1997" s="85"/>
      <c r="D1997" s="85"/>
      <c r="E1997" s="13"/>
      <c r="F1997" s="14" t="str">
        <f t="shared" si="126"/>
        <v/>
      </c>
      <c r="H1997" s="90">
        <f t="shared" ref="H1997" si="134">SUM(F1997:G2003)</f>
        <v>0</v>
      </c>
    </row>
    <row r="1998" spans="1:8" x14ac:dyDescent="0.25">
      <c r="A1998" s="6">
        <v>45979</v>
      </c>
      <c r="B1998" s="87" t="s">
        <v>8</v>
      </c>
      <c r="C1998" s="85"/>
      <c r="D1998" s="85"/>
      <c r="E1998" s="13"/>
      <c r="F1998" s="14" t="str">
        <f t="shared" si="126"/>
        <v/>
      </c>
      <c r="H1998" s="91"/>
    </row>
    <row r="1999" spans="1:8" x14ac:dyDescent="0.25">
      <c r="A1999" s="11">
        <v>45980</v>
      </c>
      <c r="B1999" s="87" t="s">
        <v>8</v>
      </c>
      <c r="C1999" s="85"/>
      <c r="D1999" s="85"/>
      <c r="E1999" s="13"/>
      <c r="F1999" s="14" t="str">
        <f t="shared" si="126"/>
        <v/>
      </c>
      <c r="H1999" s="91"/>
    </row>
    <row r="2000" spans="1:8" x14ac:dyDescent="0.25">
      <c r="A2000" s="6">
        <v>45981</v>
      </c>
      <c r="B2000" s="87" t="s">
        <v>8</v>
      </c>
      <c r="C2000" s="85"/>
      <c r="D2000" s="85"/>
      <c r="E2000" s="13"/>
      <c r="F2000" s="14" t="str">
        <f t="shared" si="126"/>
        <v/>
      </c>
      <c r="H2000" s="91"/>
    </row>
    <row r="2001" spans="1:8" x14ac:dyDescent="0.25">
      <c r="A2001" s="11">
        <v>45982</v>
      </c>
      <c r="B2001" s="87" t="s">
        <v>14</v>
      </c>
      <c r="C2001" s="85"/>
      <c r="D2001" s="85"/>
      <c r="E2001" s="13"/>
      <c r="F2001" s="14" t="str">
        <f t="shared" si="126"/>
        <v/>
      </c>
      <c r="H2001" s="91"/>
    </row>
    <row r="2002" spans="1:8" x14ac:dyDescent="0.25">
      <c r="A2002" s="6">
        <v>45983</v>
      </c>
      <c r="B2002" s="87"/>
      <c r="C2002" s="85"/>
      <c r="D2002" s="85"/>
      <c r="E2002" s="13"/>
      <c r="F2002" s="14" t="str">
        <f t="shared" si="126"/>
        <v/>
      </c>
      <c r="H2002" s="91"/>
    </row>
    <row r="2003" spans="1:8" x14ac:dyDescent="0.25">
      <c r="A2003" s="11">
        <v>45984</v>
      </c>
      <c r="B2003" s="87"/>
      <c r="C2003" s="85"/>
      <c r="D2003" s="85"/>
      <c r="E2003" s="13"/>
      <c r="F2003" s="14" t="str">
        <f t="shared" si="126"/>
        <v/>
      </c>
      <c r="H2003" s="92"/>
    </row>
    <row r="2004" spans="1:8" x14ac:dyDescent="0.25">
      <c r="A2004" s="6">
        <v>45985</v>
      </c>
      <c r="B2004" s="82" t="s">
        <v>9</v>
      </c>
      <c r="C2004" s="85">
        <v>0.25</v>
      </c>
      <c r="D2004" s="85">
        <v>0.64583333333333337</v>
      </c>
      <c r="E2004" s="13">
        <v>0.5</v>
      </c>
      <c r="F2004" s="14">
        <f t="shared" si="126"/>
        <v>9</v>
      </c>
      <c r="H2004" s="90">
        <f t="shared" ref="H2004" si="135">SUM(F2004:G2010)</f>
        <v>60</v>
      </c>
    </row>
    <row r="2005" spans="1:8" x14ac:dyDescent="0.25">
      <c r="A2005" s="11">
        <v>45986</v>
      </c>
      <c r="B2005" s="82" t="s">
        <v>9</v>
      </c>
      <c r="C2005" s="85">
        <v>0.25</v>
      </c>
      <c r="D2005" s="85">
        <v>0.64583333333333337</v>
      </c>
      <c r="E2005" s="13">
        <v>0.5</v>
      </c>
      <c r="F2005" s="14">
        <f t="shared" si="126"/>
        <v>9</v>
      </c>
      <c r="H2005" s="91"/>
    </row>
    <row r="2006" spans="1:8" x14ac:dyDescent="0.25">
      <c r="A2006" s="6">
        <v>45987</v>
      </c>
      <c r="B2006" s="82" t="s">
        <v>9</v>
      </c>
      <c r="C2006" s="85">
        <v>0.25</v>
      </c>
      <c r="D2006" s="85">
        <v>0.64583333333333337</v>
      </c>
      <c r="E2006" s="13">
        <v>0.5</v>
      </c>
      <c r="F2006" s="14">
        <f t="shared" si="126"/>
        <v>9</v>
      </c>
      <c r="H2006" s="91"/>
    </row>
    <row r="2007" spans="1:8" x14ac:dyDescent="0.25">
      <c r="A2007" s="11">
        <v>45988</v>
      </c>
      <c r="B2007" s="82" t="s">
        <v>9</v>
      </c>
      <c r="C2007" s="85">
        <v>0.25</v>
      </c>
      <c r="D2007" s="85">
        <v>0.64583333333333337</v>
      </c>
      <c r="E2007" s="13">
        <v>0.5</v>
      </c>
      <c r="F2007" s="14">
        <f t="shared" si="126"/>
        <v>9</v>
      </c>
      <c r="H2007" s="91"/>
    </row>
    <row r="2008" spans="1:8" x14ac:dyDescent="0.25">
      <c r="A2008" s="6">
        <v>45989</v>
      </c>
      <c r="B2008" s="7" t="s">
        <v>15</v>
      </c>
      <c r="C2008" s="85">
        <v>0.29166666666666669</v>
      </c>
      <c r="D2008" s="85">
        <v>0.64583333333333337</v>
      </c>
      <c r="E2008" s="13">
        <v>0.5</v>
      </c>
      <c r="F2008" s="14">
        <f t="shared" si="126"/>
        <v>8</v>
      </c>
      <c r="H2008" s="91"/>
    </row>
    <row r="2009" spans="1:8" x14ac:dyDescent="0.25">
      <c r="A2009" s="11">
        <v>45990</v>
      </c>
      <c r="B2009" s="7" t="s">
        <v>15</v>
      </c>
      <c r="C2009" s="85">
        <v>0.29166666666666669</v>
      </c>
      <c r="D2009" s="85">
        <v>0.64583333333333337</v>
      </c>
      <c r="E2009" s="13">
        <v>0.5</v>
      </c>
      <c r="F2009" s="14">
        <f t="shared" si="126"/>
        <v>8</v>
      </c>
      <c r="H2009" s="91"/>
    </row>
    <row r="2010" spans="1:8" x14ac:dyDescent="0.25">
      <c r="A2010" s="6">
        <v>45991</v>
      </c>
      <c r="B2010" s="7" t="s">
        <v>15</v>
      </c>
      <c r="C2010" s="85">
        <v>0.29166666666666669</v>
      </c>
      <c r="D2010" s="85">
        <v>0.64583333333333337</v>
      </c>
      <c r="E2010" s="13">
        <v>0.5</v>
      </c>
      <c r="F2010" s="14">
        <f t="shared" si="126"/>
        <v>8</v>
      </c>
      <c r="H2010" s="92"/>
    </row>
    <row r="2011" spans="1:8" x14ac:dyDescent="0.25">
      <c r="A2011" s="11">
        <v>45992</v>
      </c>
      <c r="B2011" s="82" t="s">
        <v>9</v>
      </c>
      <c r="C2011" s="85">
        <v>0.25</v>
      </c>
      <c r="D2011" s="85">
        <v>0.64583333333333337</v>
      </c>
      <c r="E2011" s="13">
        <v>0.5</v>
      </c>
      <c r="F2011" s="14">
        <f t="shared" si="126"/>
        <v>9</v>
      </c>
      <c r="H2011" s="90">
        <f t="shared" ref="H2011:H2039" si="136">SUM(F2011:G2017)</f>
        <v>36</v>
      </c>
    </row>
    <row r="2012" spans="1:8" x14ac:dyDescent="0.25">
      <c r="A2012" s="6">
        <v>45993</v>
      </c>
      <c r="B2012" s="82" t="s">
        <v>9</v>
      </c>
      <c r="C2012" s="85">
        <v>0.25</v>
      </c>
      <c r="D2012" s="85">
        <v>0.64583333333333337</v>
      </c>
      <c r="E2012" s="13">
        <v>0.5</v>
      </c>
      <c r="F2012" s="14">
        <f t="shared" ref="F2012:F2050" si="137">IF(C2012="", "", IF(D2012="", "", (D2012-C2012)*24 - E2012))</f>
        <v>9</v>
      </c>
      <c r="H2012" s="91"/>
    </row>
    <row r="2013" spans="1:8" x14ac:dyDescent="0.25">
      <c r="A2013" s="11">
        <v>45994</v>
      </c>
      <c r="B2013" s="83" t="s">
        <v>12</v>
      </c>
      <c r="C2013" s="85">
        <v>0.25</v>
      </c>
      <c r="D2013" s="85">
        <v>0.64583333333333337</v>
      </c>
      <c r="E2013" s="13">
        <v>0.5</v>
      </c>
      <c r="F2013" s="14">
        <f t="shared" si="137"/>
        <v>9</v>
      </c>
      <c r="H2013" s="91"/>
    </row>
    <row r="2014" spans="1:8" x14ac:dyDescent="0.25">
      <c r="A2014" s="6">
        <v>45995</v>
      </c>
      <c r="B2014" s="82" t="s">
        <v>9</v>
      </c>
      <c r="C2014" s="85">
        <v>0.25</v>
      </c>
      <c r="D2014" s="85">
        <v>0.64583333333333337</v>
      </c>
      <c r="E2014" s="13">
        <v>0.5</v>
      </c>
      <c r="F2014" s="14">
        <f t="shared" si="137"/>
        <v>9</v>
      </c>
      <c r="H2014" s="91"/>
    </row>
    <row r="2015" spans="1:8" x14ac:dyDescent="0.25">
      <c r="A2015" s="11">
        <v>45996</v>
      </c>
      <c r="B2015" s="87" t="s">
        <v>14</v>
      </c>
      <c r="C2015" s="85"/>
      <c r="D2015" s="85"/>
      <c r="E2015" s="13"/>
      <c r="F2015" s="14" t="str">
        <f t="shared" si="137"/>
        <v/>
      </c>
      <c r="H2015" s="91"/>
    </row>
    <row r="2016" spans="1:8" x14ac:dyDescent="0.25">
      <c r="A2016" s="6">
        <v>45997</v>
      </c>
      <c r="B2016" s="87"/>
      <c r="C2016" s="85"/>
      <c r="D2016" s="85"/>
      <c r="E2016" s="13"/>
      <c r="F2016" s="14" t="str">
        <f t="shared" si="137"/>
        <v/>
      </c>
      <c r="H2016" s="91"/>
    </row>
    <row r="2017" spans="1:8" x14ac:dyDescent="0.25">
      <c r="A2017" s="11">
        <v>45998</v>
      </c>
      <c r="B2017" s="87"/>
      <c r="C2017" s="85"/>
      <c r="D2017" s="85"/>
      <c r="E2017" s="13"/>
      <c r="F2017" s="14" t="str">
        <f t="shared" si="137"/>
        <v/>
      </c>
      <c r="H2017" s="92"/>
    </row>
    <row r="2018" spans="1:8" x14ac:dyDescent="0.25">
      <c r="A2018" s="6">
        <v>45999</v>
      </c>
      <c r="B2018" s="87" t="s">
        <v>8</v>
      </c>
      <c r="C2018" s="85"/>
      <c r="D2018" s="85"/>
      <c r="E2018" s="13"/>
      <c r="F2018" s="14" t="str">
        <f t="shared" si="137"/>
        <v/>
      </c>
      <c r="H2018" s="90">
        <f t="shared" si="136"/>
        <v>27</v>
      </c>
    </row>
    <row r="2019" spans="1:8" x14ac:dyDescent="0.25">
      <c r="A2019" s="11">
        <v>46000</v>
      </c>
      <c r="B2019" s="82" t="s">
        <v>9</v>
      </c>
      <c r="C2019" s="85">
        <v>0.25</v>
      </c>
      <c r="D2019" s="85">
        <v>0.64583333333333337</v>
      </c>
      <c r="E2019" s="13">
        <v>0.5</v>
      </c>
      <c r="F2019" s="14">
        <f t="shared" si="137"/>
        <v>9</v>
      </c>
      <c r="H2019" s="91"/>
    </row>
    <row r="2020" spans="1:8" x14ac:dyDescent="0.25">
      <c r="A2020" s="6">
        <v>46001</v>
      </c>
      <c r="B2020" s="83" t="s">
        <v>12</v>
      </c>
      <c r="C2020" s="85">
        <v>0.25</v>
      </c>
      <c r="D2020" s="85">
        <v>0.64583333333333337</v>
      </c>
      <c r="E2020" s="13">
        <v>0.5</v>
      </c>
      <c r="F2020" s="14">
        <f t="shared" si="137"/>
        <v>9</v>
      </c>
      <c r="H2020" s="91"/>
    </row>
    <row r="2021" spans="1:8" x14ac:dyDescent="0.25">
      <c r="A2021" s="11">
        <v>46002</v>
      </c>
      <c r="B2021" s="82" t="s">
        <v>9</v>
      </c>
      <c r="C2021" s="85">
        <v>0.25</v>
      </c>
      <c r="D2021" s="85">
        <v>0.64583333333333337</v>
      </c>
      <c r="E2021" s="13">
        <v>0.5</v>
      </c>
      <c r="F2021" s="14">
        <f t="shared" si="137"/>
        <v>9</v>
      </c>
      <c r="H2021" s="91"/>
    </row>
    <row r="2022" spans="1:8" x14ac:dyDescent="0.25">
      <c r="A2022" s="6">
        <v>46003</v>
      </c>
      <c r="B2022" s="87" t="s">
        <v>14</v>
      </c>
      <c r="C2022" s="85"/>
      <c r="D2022" s="85"/>
      <c r="E2022" s="13"/>
      <c r="F2022" s="14" t="str">
        <f t="shared" si="137"/>
        <v/>
      </c>
      <c r="H2022" s="91"/>
    </row>
    <row r="2023" spans="1:8" x14ac:dyDescent="0.25">
      <c r="A2023" s="11">
        <v>46004</v>
      </c>
      <c r="B2023" s="87"/>
      <c r="C2023" s="85"/>
      <c r="D2023" s="85"/>
      <c r="E2023" s="13"/>
      <c r="F2023" s="14" t="str">
        <f t="shared" si="137"/>
        <v/>
      </c>
      <c r="H2023" s="91"/>
    </row>
    <row r="2024" spans="1:8" x14ac:dyDescent="0.25">
      <c r="A2024" s="6">
        <v>46005</v>
      </c>
      <c r="B2024" s="87"/>
      <c r="C2024" s="85"/>
      <c r="D2024" s="85"/>
      <c r="E2024" s="13"/>
      <c r="F2024" s="14" t="str">
        <f t="shared" si="137"/>
        <v/>
      </c>
      <c r="H2024" s="92"/>
    </row>
    <row r="2025" spans="1:8" x14ac:dyDescent="0.25">
      <c r="A2025" s="11">
        <v>46006</v>
      </c>
      <c r="B2025" s="82" t="s">
        <v>9</v>
      </c>
      <c r="C2025" s="85">
        <v>0.25</v>
      </c>
      <c r="D2025" s="85">
        <v>0.64583333333333337</v>
      </c>
      <c r="E2025" s="13">
        <v>0.5</v>
      </c>
      <c r="F2025" s="14">
        <f t="shared" si="137"/>
        <v>9</v>
      </c>
      <c r="H2025" s="90">
        <f t="shared" si="136"/>
        <v>36</v>
      </c>
    </row>
    <row r="2026" spans="1:8" x14ac:dyDescent="0.25">
      <c r="A2026" s="6">
        <v>46007</v>
      </c>
      <c r="B2026" s="82" t="s">
        <v>9</v>
      </c>
      <c r="C2026" s="85">
        <v>0.25</v>
      </c>
      <c r="D2026" s="85">
        <v>0.64583333333333337</v>
      </c>
      <c r="E2026" s="13">
        <v>0.5</v>
      </c>
      <c r="F2026" s="14">
        <f t="shared" si="137"/>
        <v>9</v>
      </c>
      <c r="H2026" s="91"/>
    </row>
    <row r="2027" spans="1:8" x14ac:dyDescent="0.25">
      <c r="A2027" s="11">
        <v>46008</v>
      </c>
      <c r="B2027" s="83" t="s">
        <v>12</v>
      </c>
      <c r="C2027" s="85">
        <v>0.25</v>
      </c>
      <c r="D2027" s="85">
        <v>0.64583333333333337</v>
      </c>
      <c r="E2027" s="13">
        <v>0.5</v>
      </c>
      <c r="F2027" s="14">
        <f t="shared" si="137"/>
        <v>9</v>
      </c>
      <c r="H2027" s="91"/>
    </row>
    <row r="2028" spans="1:8" x14ac:dyDescent="0.25">
      <c r="A2028" s="6">
        <v>46009</v>
      </c>
      <c r="B2028" s="82" t="s">
        <v>9</v>
      </c>
      <c r="C2028" s="85">
        <v>0.25</v>
      </c>
      <c r="D2028" s="85">
        <v>0.64583333333333337</v>
      </c>
      <c r="E2028" s="13">
        <v>0.5</v>
      </c>
      <c r="F2028" s="14">
        <f t="shared" si="137"/>
        <v>9</v>
      </c>
      <c r="H2028" s="91"/>
    </row>
    <row r="2029" spans="1:8" x14ac:dyDescent="0.25">
      <c r="A2029" s="11">
        <v>46010</v>
      </c>
      <c r="B2029" s="87" t="s">
        <v>14</v>
      </c>
      <c r="C2029" s="85"/>
      <c r="D2029" s="85"/>
      <c r="E2029" s="13"/>
      <c r="F2029" s="14" t="str">
        <f t="shared" si="137"/>
        <v/>
      </c>
      <c r="H2029" s="91"/>
    </row>
    <row r="2030" spans="1:8" x14ac:dyDescent="0.25">
      <c r="A2030" s="6">
        <v>46011</v>
      </c>
      <c r="B2030" s="87"/>
      <c r="C2030" s="85"/>
      <c r="D2030" s="85"/>
      <c r="E2030" s="13"/>
      <c r="F2030" s="14" t="str">
        <f t="shared" si="137"/>
        <v/>
      </c>
      <c r="H2030" s="91"/>
    </row>
    <row r="2031" spans="1:8" x14ac:dyDescent="0.25">
      <c r="A2031" s="11">
        <v>46012</v>
      </c>
      <c r="B2031" s="87"/>
      <c r="C2031" s="85"/>
      <c r="D2031" s="85"/>
      <c r="E2031" s="13"/>
      <c r="F2031" s="14" t="str">
        <f t="shared" si="137"/>
        <v/>
      </c>
      <c r="H2031" s="92"/>
    </row>
    <row r="2032" spans="1:8" x14ac:dyDescent="0.25">
      <c r="A2032" s="6">
        <v>46013</v>
      </c>
      <c r="B2032" s="82" t="s">
        <v>9</v>
      </c>
      <c r="C2032" s="85">
        <v>0.25</v>
      </c>
      <c r="D2032" s="85">
        <v>0.64583333333333337</v>
      </c>
      <c r="E2032" s="13">
        <v>0.5</v>
      </c>
      <c r="F2032" s="14">
        <f t="shared" si="137"/>
        <v>9</v>
      </c>
      <c r="H2032" s="90">
        <f t="shared" si="136"/>
        <v>62</v>
      </c>
    </row>
    <row r="2033" spans="1:8" x14ac:dyDescent="0.25">
      <c r="A2033" s="11">
        <v>46014</v>
      </c>
      <c r="B2033" s="82" t="s">
        <v>9</v>
      </c>
      <c r="C2033" s="85">
        <v>0.25</v>
      </c>
      <c r="D2033" s="85">
        <v>0.64583333333333337</v>
      </c>
      <c r="E2033" s="13">
        <v>0.5</v>
      </c>
      <c r="F2033" s="14">
        <f t="shared" si="137"/>
        <v>9</v>
      </c>
      <c r="G2033">
        <v>2</v>
      </c>
      <c r="H2033" s="91"/>
    </row>
    <row r="2034" spans="1:8" x14ac:dyDescent="0.25">
      <c r="A2034" s="6">
        <v>46015</v>
      </c>
      <c r="B2034" s="82" t="s">
        <v>9</v>
      </c>
      <c r="C2034" s="85">
        <v>0.25</v>
      </c>
      <c r="D2034" s="85">
        <v>0.64583333333333337</v>
      </c>
      <c r="E2034" s="13">
        <v>0.5</v>
      </c>
      <c r="F2034" s="14">
        <f t="shared" si="137"/>
        <v>9</v>
      </c>
      <c r="H2034" s="91"/>
    </row>
    <row r="2035" spans="1:8" x14ac:dyDescent="0.25">
      <c r="A2035" s="11">
        <v>46016</v>
      </c>
      <c r="B2035" s="7" t="s">
        <v>15</v>
      </c>
      <c r="C2035" s="85">
        <v>0.29166666666666669</v>
      </c>
      <c r="D2035" s="85">
        <v>0.64583333333333337</v>
      </c>
      <c r="E2035" s="13">
        <v>0.5</v>
      </c>
      <c r="F2035" s="14">
        <f t="shared" si="137"/>
        <v>8</v>
      </c>
      <c r="G2035">
        <v>1</v>
      </c>
      <c r="H2035" s="91"/>
    </row>
    <row r="2036" spans="1:8" x14ac:dyDescent="0.25">
      <c r="A2036" s="6">
        <v>46017</v>
      </c>
      <c r="B2036" s="7" t="s">
        <v>15</v>
      </c>
      <c r="C2036" s="85">
        <v>0.29166666666666669</v>
      </c>
      <c r="D2036" s="85">
        <v>0.64583333333333337</v>
      </c>
      <c r="E2036" s="13">
        <v>0.5</v>
      </c>
      <c r="F2036" s="14">
        <f t="shared" si="137"/>
        <v>8</v>
      </c>
      <c r="H2036" s="91"/>
    </row>
    <row r="2037" spans="1:8" x14ac:dyDescent="0.25">
      <c r="A2037" s="11">
        <v>46018</v>
      </c>
      <c r="B2037" s="7" t="s">
        <v>15</v>
      </c>
      <c r="C2037" s="85">
        <v>0.29166666666666669</v>
      </c>
      <c r="D2037" s="85">
        <v>0.64583333333333337</v>
      </c>
      <c r="E2037" s="13">
        <v>0.5</v>
      </c>
      <c r="F2037" s="14">
        <f t="shared" si="137"/>
        <v>8</v>
      </c>
      <c r="H2037" s="91"/>
    </row>
    <row r="2038" spans="1:8" x14ac:dyDescent="0.25">
      <c r="A2038" s="6">
        <v>46019</v>
      </c>
      <c r="B2038" s="7" t="s">
        <v>15</v>
      </c>
      <c r="C2038" s="85">
        <v>0.29166666666666669</v>
      </c>
      <c r="D2038" s="85">
        <v>0.64583333333333337</v>
      </c>
      <c r="E2038" s="13">
        <v>0.5</v>
      </c>
      <c r="F2038" s="14">
        <f t="shared" si="137"/>
        <v>8</v>
      </c>
      <c r="H2038" s="92"/>
    </row>
    <row r="2039" spans="1:8" x14ac:dyDescent="0.25">
      <c r="A2039" s="11">
        <v>46020</v>
      </c>
      <c r="B2039" s="82" t="s">
        <v>9</v>
      </c>
      <c r="C2039" s="85">
        <v>0.25</v>
      </c>
      <c r="D2039" s="85">
        <v>0.64583333333333337</v>
      </c>
      <c r="E2039" s="13">
        <v>0.5</v>
      </c>
      <c r="F2039" s="14">
        <f t="shared" si="137"/>
        <v>9</v>
      </c>
      <c r="H2039" s="90">
        <f t="shared" si="136"/>
        <v>59</v>
      </c>
    </row>
    <row r="2040" spans="1:8" x14ac:dyDescent="0.25">
      <c r="A2040" s="6">
        <v>46021</v>
      </c>
      <c r="B2040" s="82" t="s">
        <v>9</v>
      </c>
      <c r="C2040" s="85">
        <v>0.25</v>
      </c>
      <c r="D2040" s="85">
        <v>0.64583333333333337</v>
      </c>
      <c r="E2040" s="13">
        <v>0.5</v>
      </c>
      <c r="F2040" s="14">
        <f t="shared" si="137"/>
        <v>9</v>
      </c>
      <c r="H2040" s="91"/>
    </row>
    <row r="2041" spans="1:8" x14ac:dyDescent="0.25">
      <c r="A2041" s="11">
        <v>46022</v>
      </c>
      <c r="B2041" s="82" t="s">
        <v>9</v>
      </c>
      <c r="C2041" s="85">
        <v>0.25</v>
      </c>
      <c r="D2041" s="85">
        <v>0.64583333333333337</v>
      </c>
      <c r="E2041" s="13">
        <v>0.5</v>
      </c>
      <c r="F2041" s="14">
        <f t="shared" si="137"/>
        <v>9</v>
      </c>
      <c r="H2041" s="91"/>
    </row>
    <row r="2042" spans="1:8" x14ac:dyDescent="0.25">
      <c r="A2042" s="53">
        <v>46023</v>
      </c>
      <c r="B2042" s="7" t="s">
        <v>15</v>
      </c>
      <c r="C2042" s="85">
        <v>0.29166666666666669</v>
      </c>
      <c r="D2042" s="85">
        <v>0.64583333333333337</v>
      </c>
      <c r="E2042" s="13">
        <v>0.5</v>
      </c>
      <c r="F2042" s="14">
        <f t="shared" si="137"/>
        <v>8</v>
      </c>
      <c r="H2042" s="91"/>
    </row>
    <row r="2043" spans="1:8" x14ac:dyDescent="0.25">
      <c r="A2043" s="6">
        <v>46024</v>
      </c>
      <c r="B2043" s="7" t="s">
        <v>15</v>
      </c>
      <c r="C2043" s="85">
        <v>0.29166666666666669</v>
      </c>
      <c r="D2043" s="85">
        <v>0.64583333333333337</v>
      </c>
      <c r="E2043" s="13">
        <v>0.5</v>
      </c>
      <c r="F2043" s="14">
        <f t="shared" si="137"/>
        <v>8</v>
      </c>
      <c r="H2043" s="91"/>
    </row>
    <row r="2044" spans="1:8" x14ac:dyDescent="0.25">
      <c r="A2044" s="11">
        <v>46025</v>
      </c>
      <c r="B2044" s="7" t="s">
        <v>15</v>
      </c>
      <c r="C2044" s="85">
        <v>0.29166666666666669</v>
      </c>
      <c r="D2044" s="85">
        <v>0.64583333333333337</v>
      </c>
      <c r="E2044" s="13">
        <v>0.5</v>
      </c>
      <c r="F2044" s="14">
        <f t="shared" si="137"/>
        <v>8</v>
      </c>
      <c r="H2044" s="91"/>
    </row>
    <row r="2045" spans="1:8" x14ac:dyDescent="0.25">
      <c r="A2045" s="6">
        <v>46026</v>
      </c>
      <c r="B2045" s="7" t="s">
        <v>15</v>
      </c>
      <c r="C2045" s="85">
        <v>0.29166666666666669</v>
      </c>
      <c r="D2045" s="85">
        <v>0.64583333333333337</v>
      </c>
      <c r="E2045" s="13">
        <v>0.5</v>
      </c>
      <c r="F2045" s="14">
        <f t="shared" si="137"/>
        <v>8</v>
      </c>
      <c r="H2045" s="92"/>
    </row>
    <row r="2046" spans="1:8" x14ac:dyDescent="0.25">
      <c r="A2046" s="11">
        <v>46027</v>
      </c>
      <c r="B2046" s="82" t="s">
        <v>9</v>
      </c>
      <c r="C2046" s="85">
        <v>0.25</v>
      </c>
      <c r="D2046" s="85">
        <v>0.64583333333333337</v>
      </c>
      <c r="E2046" s="13">
        <v>0.5</v>
      </c>
      <c r="F2046" s="14">
        <f t="shared" si="137"/>
        <v>9</v>
      </c>
      <c r="H2046" s="90">
        <f>SUM(F2046:G2050)</f>
        <v>36</v>
      </c>
    </row>
    <row r="2047" spans="1:8" x14ac:dyDescent="0.25">
      <c r="A2047" s="6">
        <v>46028</v>
      </c>
      <c r="B2047" s="83" t="s">
        <v>12</v>
      </c>
      <c r="C2047" s="85">
        <v>0.25</v>
      </c>
      <c r="D2047" s="85">
        <v>0.64583333333333337</v>
      </c>
      <c r="E2047" s="13">
        <v>0.5</v>
      </c>
      <c r="F2047" s="14">
        <f t="shared" si="137"/>
        <v>9</v>
      </c>
      <c r="H2047" s="91"/>
    </row>
    <row r="2048" spans="1:8" x14ac:dyDescent="0.25">
      <c r="A2048" s="11">
        <v>46029</v>
      </c>
      <c r="B2048" s="82" t="s">
        <v>9</v>
      </c>
      <c r="C2048" s="85">
        <v>0.25</v>
      </c>
      <c r="D2048" s="85">
        <v>0.64583333333333337</v>
      </c>
      <c r="E2048" s="13">
        <v>0.5</v>
      </c>
      <c r="F2048" s="14">
        <f t="shared" si="137"/>
        <v>9</v>
      </c>
      <c r="H2048" s="91"/>
    </row>
    <row r="2049" spans="1:8" x14ac:dyDescent="0.25">
      <c r="A2049" s="6">
        <v>46030</v>
      </c>
      <c r="B2049" s="82" t="s">
        <v>9</v>
      </c>
      <c r="C2049" s="85">
        <v>0.25</v>
      </c>
      <c r="D2049" s="85">
        <v>0.64583333333333337</v>
      </c>
      <c r="E2049" s="13">
        <v>0.5</v>
      </c>
      <c r="F2049" s="14">
        <f t="shared" si="137"/>
        <v>9</v>
      </c>
      <c r="H2049" s="91"/>
    </row>
    <row r="2050" spans="1:8" x14ac:dyDescent="0.25">
      <c r="A2050" s="11">
        <v>46031</v>
      </c>
      <c r="B2050" s="87" t="s">
        <v>14</v>
      </c>
      <c r="C2050" s="85"/>
      <c r="D2050" s="85"/>
      <c r="E2050" s="9"/>
      <c r="F2050" s="14" t="str">
        <f t="shared" si="137"/>
        <v/>
      </c>
      <c r="H2050" s="91"/>
    </row>
  </sheetData>
  <mergeCells count="293">
    <mergeCell ref="H44:H50"/>
    <mergeCell ref="H51:H57"/>
    <mergeCell ref="H58:H64"/>
    <mergeCell ref="H65:H71"/>
    <mergeCell ref="H72:H78"/>
    <mergeCell ref="H79:H85"/>
    <mergeCell ref="H2:H8"/>
    <mergeCell ref="H9:H15"/>
    <mergeCell ref="H16:H22"/>
    <mergeCell ref="H23:H29"/>
    <mergeCell ref="H30:H36"/>
    <mergeCell ref="H37:H43"/>
    <mergeCell ref="H128:H134"/>
    <mergeCell ref="H135:H141"/>
    <mergeCell ref="H142:H148"/>
    <mergeCell ref="H149:H155"/>
    <mergeCell ref="H156:H162"/>
    <mergeCell ref="H163:H169"/>
    <mergeCell ref="H86:H92"/>
    <mergeCell ref="H93:H99"/>
    <mergeCell ref="H100:H106"/>
    <mergeCell ref="H107:H113"/>
    <mergeCell ref="H114:H120"/>
    <mergeCell ref="H121:H127"/>
    <mergeCell ref="H212:H218"/>
    <mergeCell ref="H219:H225"/>
    <mergeCell ref="H226:H232"/>
    <mergeCell ref="H233:H239"/>
    <mergeCell ref="H240:H246"/>
    <mergeCell ref="H247:H253"/>
    <mergeCell ref="H170:H176"/>
    <mergeCell ref="H177:H183"/>
    <mergeCell ref="H184:H190"/>
    <mergeCell ref="H191:H197"/>
    <mergeCell ref="H198:H204"/>
    <mergeCell ref="H205:H211"/>
    <mergeCell ref="H296:H302"/>
    <mergeCell ref="H303:H309"/>
    <mergeCell ref="H310:H316"/>
    <mergeCell ref="H317:H323"/>
    <mergeCell ref="H324:H330"/>
    <mergeCell ref="H331:H337"/>
    <mergeCell ref="H254:H260"/>
    <mergeCell ref="H261:H267"/>
    <mergeCell ref="H268:H274"/>
    <mergeCell ref="H275:H281"/>
    <mergeCell ref="H282:H288"/>
    <mergeCell ref="H289:H295"/>
    <mergeCell ref="H380:H386"/>
    <mergeCell ref="H387:H393"/>
    <mergeCell ref="H394:H400"/>
    <mergeCell ref="H401:H407"/>
    <mergeCell ref="H408:H414"/>
    <mergeCell ref="H415:H421"/>
    <mergeCell ref="H338:H344"/>
    <mergeCell ref="H345:H351"/>
    <mergeCell ref="H352:H358"/>
    <mergeCell ref="H359:H365"/>
    <mergeCell ref="H366:H372"/>
    <mergeCell ref="H373:H379"/>
    <mergeCell ref="H464:H470"/>
    <mergeCell ref="H471:H477"/>
    <mergeCell ref="H478:H484"/>
    <mergeCell ref="H485:H491"/>
    <mergeCell ref="H492:H498"/>
    <mergeCell ref="H499:H505"/>
    <mergeCell ref="H422:H428"/>
    <mergeCell ref="H429:H435"/>
    <mergeCell ref="H436:H442"/>
    <mergeCell ref="H443:H449"/>
    <mergeCell ref="H450:H456"/>
    <mergeCell ref="H457:H463"/>
    <mergeCell ref="H548:H554"/>
    <mergeCell ref="H555:H561"/>
    <mergeCell ref="H562:H568"/>
    <mergeCell ref="H569:H575"/>
    <mergeCell ref="H576:H582"/>
    <mergeCell ref="H583:H589"/>
    <mergeCell ref="H506:H512"/>
    <mergeCell ref="H513:H519"/>
    <mergeCell ref="H520:H526"/>
    <mergeCell ref="H527:H533"/>
    <mergeCell ref="H534:H540"/>
    <mergeCell ref="H541:H547"/>
    <mergeCell ref="H632:H638"/>
    <mergeCell ref="H639:H645"/>
    <mergeCell ref="H646:H652"/>
    <mergeCell ref="H653:H659"/>
    <mergeCell ref="H660:H666"/>
    <mergeCell ref="H667:H673"/>
    <mergeCell ref="H590:H596"/>
    <mergeCell ref="H597:H603"/>
    <mergeCell ref="H604:H610"/>
    <mergeCell ref="H611:H617"/>
    <mergeCell ref="H618:H624"/>
    <mergeCell ref="H625:H631"/>
    <mergeCell ref="H716:H722"/>
    <mergeCell ref="H723:H729"/>
    <mergeCell ref="H730:H736"/>
    <mergeCell ref="H737:H743"/>
    <mergeCell ref="H744:H750"/>
    <mergeCell ref="H751:H757"/>
    <mergeCell ref="H674:H680"/>
    <mergeCell ref="H681:H687"/>
    <mergeCell ref="H688:H694"/>
    <mergeCell ref="H695:H701"/>
    <mergeCell ref="H702:H708"/>
    <mergeCell ref="H709:H715"/>
    <mergeCell ref="H800:H806"/>
    <mergeCell ref="H807:H813"/>
    <mergeCell ref="H814:H820"/>
    <mergeCell ref="H821:H827"/>
    <mergeCell ref="H828:H834"/>
    <mergeCell ref="H835:H841"/>
    <mergeCell ref="H758:H764"/>
    <mergeCell ref="H765:H771"/>
    <mergeCell ref="H772:H778"/>
    <mergeCell ref="H779:H785"/>
    <mergeCell ref="H786:H792"/>
    <mergeCell ref="H793:H799"/>
    <mergeCell ref="H884:H890"/>
    <mergeCell ref="H891:H897"/>
    <mergeCell ref="H898:H904"/>
    <mergeCell ref="H905:H911"/>
    <mergeCell ref="H912:H918"/>
    <mergeCell ref="H919:H925"/>
    <mergeCell ref="H842:H848"/>
    <mergeCell ref="H849:H855"/>
    <mergeCell ref="H856:H862"/>
    <mergeCell ref="H863:H869"/>
    <mergeCell ref="H870:H876"/>
    <mergeCell ref="H877:H883"/>
    <mergeCell ref="H968:H974"/>
    <mergeCell ref="H975:H981"/>
    <mergeCell ref="H982:H988"/>
    <mergeCell ref="H989:H995"/>
    <mergeCell ref="H996:H1002"/>
    <mergeCell ref="H1003:H1009"/>
    <mergeCell ref="H926:H932"/>
    <mergeCell ref="H933:H939"/>
    <mergeCell ref="H940:H946"/>
    <mergeCell ref="H947:H953"/>
    <mergeCell ref="H954:H960"/>
    <mergeCell ref="H961:H967"/>
    <mergeCell ref="H1052:H1058"/>
    <mergeCell ref="H1059:H1065"/>
    <mergeCell ref="H1066:H1072"/>
    <mergeCell ref="H1073:H1079"/>
    <mergeCell ref="H1080:H1086"/>
    <mergeCell ref="H1087:H1093"/>
    <mergeCell ref="H1010:H1016"/>
    <mergeCell ref="H1017:H1023"/>
    <mergeCell ref="H1024:H1030"/>
    <mergeCell ref="H1031:H1037"/>
    <mergeCell ref="H1038:H1044"/>
    <mergeCell ref="H1045:H1051"/>
    <mergeCell ref="H1136:H1142"/>
    <mergeCell ref="H1143:H1149"/>
    <mergeCell ref="H1150:H1156"/>
    <mergeCell ref="H1157:H1163"/>
    <mergeCell ref="H1164:H1170"/>
    <mergeCell ref="H1171:H1177"/>
    <mergeCell ref="H1094:H1100"/>
    <mergeCell ref="H1101:H1107"/>
    <mergeCell ref="H1108:H1114"/>
    <mergeCell ref="H1115:H1121"/>
    <mergeCell ref="H1122:H1128"/>
    <mergeCell ref="H1129:H1135"/>
    <mergeCell ref="H1220:H1226"/>
    <mergeCell ref="H1227:H1233"/>
    <mergeCell ref="H1234:H1240"/>
    <mergeCell ref="H1241:H1247"/>
    <mergeCell ref="H1248:H1254"/>
    <mergeCell ref="H1255:H1261"/>
    <mergeCell ref="H1178:H1184"/>
    <mergeCell ref="H1185:H1191"/>
    <mergeCell ref="H1192:H1198"/>
    <mergeCell ref="H1199:H1205"/>
    <mergeCell ref="H1206:H1212"/>
    <mergeCell ref="H1213:H1219"/>
    <mergeCell ref="H1304:H1310"/>
    <mergeCell ref="H1311:H1317"/>
    <mergeCell ref="H1318:H1324"/>
    <mergeCell ref="H1325:H1331"/>
    <mergeCell ref="H1332:H1338"/>
    <mergeCell ref="H1339:H1345"/>
    <mergeCell ref="H1262:H1268"/>
    <mergeCell ref="H1269:H1275"/>
    <mergeCell ref="H1276:H1282"/>
    <mergeCell ref="H1283:H1289"/>
    <mergeCell ref="H1290:H1296"/>
    <mergeCell ref="H1297:H1303"/>
    <mergeCell ref="H1388:H1394"/>
    <mergeCell ref="H1395:H1401"/>
    <mergeCell ref="H1402:H1408"/>
    <mergeCell ref="H1409:H1415"/>
    <mergeCell ref="H1416:H1422"/>
    <mergeCell ref="H1423:H1429"/>
    <mergeCell ref="H1346:H1352"/>
    <mergeCell ref="H1353:H1359"/>
    <mergeCell ref="H1360:H1366"/>
    <mergeCell ref="H1367:H1373"/>
    <mergeCell ref="H1374:H1380"/>
    <mergeCell ref="H1381:H1387"/>
    <mergeCell ref="H1472:H1478"/>
    <mergeCell ref="H1479:H1485"/>
    <mergeCell ref="H1486:H1492"/>
    <mergeCell ref="H1493:H1499"/>
    <mergeCell ref="H1500:H1506"/>
    <mergeCell ref="H1507:H1513"/>
    <mergeCell ref="H1430:H1436"/>
    <mergeCell ref="H1437:H1443"/>
    <mergeCell ref="H1444:H1450"/>
    <mergeCell ref="H1451:H1457"/>
    <mergeCell ref="H1458:H1464"/>
    <mergeCell ref="H1465:H1471"/>
    <mergeCell ref="H1556:H1562"/>
    <mergeCell ref="H1563:H1569"/>
    <mergeCell ref="H1570:H1576"/>
    <mergeCell ref="H1577:H1583"/>
    <mergeCell ref="H1584:H1590"/>
    <mergeCell ref="H1591:H1597"/>
    <mergeCell ref="H1514:H1520"/>
    <mergeCell ref="H1521:H1527"/>
    <mergeCell ref="H1528:H1534"/>
    <mergeCell ref="H1535:H1541"/>
    <mergeCell ref="H1542:H1548"/>
    <mergeCell ref="H1549:H1555"/>
    <mergeCell ref="H1640:H1646"/>
    <mergeCell ref="H1647:H1653"/>
    <mergeCell ref="H1654:H1660"/>
    <mergeCell ref="H1661:H1667"/>
    <mergeCell ref="H1668:H1674"/>
    <mergeCell ref="H1675:H1681"/>
    <mergeCell ref="H1598:H1604"/>
    <mergeCell ref="H1605:H1611"/>
    <mergeCell ref="H1612:H1618"/>
    <mergeCell ref="H1619:H1625"/>
    <mergeCell ref="H1626:H1632"/>
    <mergeCell ref="H1633:H1639"/>
    <mergeCell ref="H1724:H1730"/>
    <mergeCell ref="H1731:H1737"/>
    <mergeCell ref="H1738:H1744"/>
    <mergeCell ref="H1745:H1751"/>
    <mergeCell ref="H1752:H1758"/>
    <mergeCell ref="H1759:H1765"/>
    <mergeCell ref="H1682:H1688"/>
    <mergeCell ref="H1689:H1695"/>
    <mergeCell ref="H1696:H1702"/>
    <mergeCell ref="H1703:H1709"/>
    <mergeCell ref="H1710:H1716"/>
    <mergeCell ref="H1717:H1723"/>
    <mergeCell ref="H1808:H1814"/>
    <mergeCell ref="H1815:H1821"/>
    <mergeCell ref="H1822:H1828"/>
    <mergeCell ref="H1829:H1835"/>
    <mergeCell ref="H1836:H1842"/>
    <mergeCell ref="H1843:H1849"/>
    <mergeCell ref="H1766:H1772"/>
    <mergeCell ref="H1773:H1779"/>
    <mergeCell ref="H1780:H1786"/>
    <mergeCell ref="H1787:H1793"/>
    <mergeCell ref="H1794:H1800"/>
    <mergeCell ref="H1801:H1807"/>
    <mergeCell ref="H1892:H1898"/>
    <mergeCell ref="H1899:H1905"/>
    <mergeCell ref="H1906:H1912"/>
    <mergeCell ref="H1913:H1919"/>
    <mergeCell ref="H1920:H1926"/>
    <mergeCell ref="H1927:H1933"/>
    <mergeCell ref="H1850:H1856"/>
    <mergeCell ref="H1857:H1863"/>
    <mergeCell ref="H1864:H1870"/>
    <mergeCell ref="H1871:H1877"/>
    <mergeCell ref="H1878:H1884"/>
    <mergeCell ref="H1885:H1891"/>
    <mergeCell ref="H1976:H1982"/>
    <mergeCell ref="H1983:H1989"/>
    <mergeCell ref="H1990:H1996"/>
    <mergeCell ref="H1997:H2003"/>
    <mergeCell ref="H2004:H2010"/>
    <mergeCell ref="H2011:H2017"/>
    <mergeCell ref="H1934:H1940"/>
    <mergeCell ref="H1941:H1947"/>
    <mergeCell ref="H1948:H1954"/>
    <mergeCell ref="H1955:H1961"/>
    <mergeCell ref="H1962:H1968"/>
    <mergeCell ref="H1969:H1975"/>
    <mergeCell ref="H2018:H2024"/>
    <mergeCell ref="H2025:H2031"/>
    <mergeCell ref="H2032:H2038"/>
    <mergeCell ref="H2039:H2045"/>
    <mergeCell ref="H2046:H2050"/>
  </mergeCells>
  <conditionalFormatting sqref="A1:A1048576">
    <cfRule type="expression" dxfId="6" priority="1">
      <formula>$A1=TODAY()</formula>
    </cfRule>
  </conditionalFormatting>
  <conditionalFormatting sqref="B1:B1497 B1500:B1610 B1612:B1048576">
    <cfRule type="containsText" dxfId="5" priority="2" operator="containsText" text="Public Holiday">
      <formula>NOT(ISERROR(SEARCH("Public Holiday",B1)))</formula>
    </cfRule>
    <cfRule type="containsText" dxfId="4" priority="3" operator="containsText" text="RDO">
      <formula>NOT(ISERROR(SEARCH("RDO",B1)))</formula>
    </cfRule>
    <cfRule type="containsText" dxfId="3" priority="4" operator="containsText" text="On leave">
      <formula>NOT(ISERROR(SEARCH("On leave",B1)))</formula>
    </cfRule>
    <cfRule type="containsText" dxfId="2" priority="5" operator="containsText" text="Working from home">
      <formula>NOT(ISERROR(SEARCH("Working from home",B1)))</formula>
    </cfRule>
    <cfRule type="containsText" dxfId="1" priority="6" operator="containsText" text="Normal work location">
      <formula>NOT(ISERROR(SEARCH("Normal work location",B1)))</formula>
    </cfRule>
    <cfRule type="containsText" dxfId="0" priority="7" operator="containsText" text="AFTER HOURS">
      <formula>NOT(ISERROR(SEARCH("AFTER HOURS",B1)))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BEAN Peter</dc:creator>
  <cp:lastModifiedBy>BEAN Peter</cp:lastModifiedBy>
  <dcterms:created xsi:type="dcterms:W3CDTF">2026-01-13T22:19:43Z</dcterms:created>
  <dcterms:modified xsi:type="dcterms:W3CDTF">2026-01-13T22:41:11Z</dcterms:modified>
</cp:coreProperties>
</file>